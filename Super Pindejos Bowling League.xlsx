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5"/>
    <sheet state="visible" name="Settings" sheetId="2" r:id="rId6"/>
    <sheet state="visible" name="Active Week" sheetId="3" r:id="rId7"/>
    <sheet state="hidden" name="Standings" sheetId="4" r:id="rId8"/>
    <sheet state="visible" name="Generated Teams" sheetId="5" r:id="rId9"/>
    <sheet state="visible" name="Roster Avgs" sheetId="6" r:id="rId10"/>
    <sheet state="visible" name="Current Week" sheetId="7" r:id="rId11"/>
    <sheet state="visible" name="Weekly Scores" sheetId="8" r:id="rId12"/>
    <sheet state="visible" name="Weekly RSVP" sheetId="9" r:id="rId13"/>
    <sheet state="visible" name="Trash Board" sheetId="10" r:id="rId14"/>
    <sheet state="visible" name="League History" sheetId="11" r:id="rId15"/>
    <sheet state="visible" name="Season Champions" sheetId="12" r:id="rId16"/>
  </sheets>
  <definedNames/>
  <calcPr/>
</workbook>
</file>

<file path=xl/sharedStrings.xml><?xml version="1.0" encoding="utf-8"?>
<sst xmlns="http://schemas.openxmlformats.org/spreadsheetml/2006/main" count="744" uniqueCount="99">
  <si>
    <t>Members</t>
  </si>
  <si>
    <t>Jersey Ordered</t>
  </si>
  <si>
    <t>Registration Fee Paid</t>
  </si>
  <si>
    <t>Season 2 Fee</t>
  </si>
  <si>
    <t>Garrett</t>
  </si>
  <si>
    <t>Yes</t>
  </si>
  <si>
    <t>Jordan</t>
  </si>
  <si>
    <t>Nick</t>
  </si>
  <si>
    <t>Danny</t>
  </si>
  <si>
    <t>Troy</t>
  </si>
  <si>
    <t>Brandtly</t>
  </si>
  <si>
    <t>CJ</t>
  </si>
  <si>
    <t>Andre</t>
  </si>
  <si>
    <t>Jack</t>
  </si>
  <si>
    <t>Daniel</t>
  </si>
  <si>
    <t>Thomas</t>
  </si>
  <si>
    <t>N/A</t>
  </si>
  <si>
    <t>John</t>
  </si>
  <si>
    <t>Hayden</t>
  </si>
  <si>
    <t>Key</t>
  </si>
  <si>
    <t>Value</t>
  </si>
  <si>
    <t>CurrentSeason</t>
  </si>
  <si>
    <t>LeagueName</t>
  </si>
  <si>
    <t>Pindejos Bowling</t>
  </si>
  <si>
    <t>Venue</t>
  </si>
  <si>
    <t>Lucky Strike Times Square</t>
  </si>
  <si>
    <t>BowlingNight</t>
  </si>
  <si>
    <t>Tuesday</t>
  </si>
  <si>
    <t>Season</t>
  </si>
  <si>
    <t>Week</t>
  </si>
  <si>
    <t>Team</t>
  </si>
  <si>
    <t>Slot</t>
  </si>
  <si>
    <t>Name</t>
  </si>
  <si>
    <t>G1 Score</t>
  </si>
  <si>
    <t>G2 Score</t>
  </si>
  <si>
    <t>G3 Score</t>
  </si>
  <si>
    <t>G1 Opp</t>
  </si>
  <si>
    <t>G2 Opp</t>
  </si>
  <si>
    <t>G3 Opp</t>
  </si>
  <si>
    <t>Is Fill</t>
  </si>
  <si>
    <t>Wins</t>
  </si>
  <si>
    <t>Losses</t>
  </si>
  <si>
    <t>Points Scored</t>
  </si>
  <si>
    <t>Games Played</t>
  </si>
  <si>
    <t>Player Average</t>
  </si>
  <si>
    <t>League Average</t>
  </si>
  <si>
    <t>Thomas (MIA)</t>
  </si>
  <si>
    <t>CJ (MIA)</t>
  </si>
  <si>
    <t>Team Builder Dashboard</t>
  </si>
  <si>
    <t>Fill Mode: League Avg</t>
  </si>
  <si>
    <t>Generated 5/27/2026, 8:19:01 PM · Fill: League Avg · Source: last-season</t>
  </si>
  <si>
    <t>Team 1</t>
  </si>
  <si>
    <t>Available</t>
  </si>
  <si>
    <t>Team 2</t>
  </si>
  <si>
    <t>Current Week Status</t>
  </si>
  <si>
    <t>Current Avg</t>
  </si>
  <si>
    <t>Fill Rule</t>
  </si>
  <si>
    <t>Unavailable</t>
  </si>
  <si>
    <t>League Avg</t>
  </si>
  <si>
    <t>Week 4</t>
  </si>
  <si>
    <t>Change weekly before saving scores</t>
  </si>
  <si>
    <t>Game 1</t>
  </si>
  <si>
    <t>Average</t>
  </si>
  <si>
    <t>Status</t>
  </si>
  <si>
    <t>Score</t>
  </si>
  <si>
    <t>vs</t>
  </si>
  <si>
    <t>Team 3</t>
  </si>
  <si>
    <t>Team 4</t>
  </si>
  <si>
    <t>Game 2</t>
  </si>
  <si>
    <t>Player</t>
  </si>
  <si>
    <t>Game 1 Opp</t>
  </si>
  <si>
    <t>Game 2 Opp</t>
  </si>
  <si>
    <t>Total Pins</t>
  </si>
  <si>
    <t>Total Wins</t>
  </si>
  <si>
    <t>Total Losses</t>
  </si>
  <si>
    <t>Total Games</t>
  </si>
  <si>
    <t>Present</t>
  </si>
  <si>
    <t>Playoffs</t>
  </si>
  <si>
    <t>Note</t>
  </si>
  <si>
    <t>Updated</t>
  </si>
  <si>
    <t>Timestamp</t>
  </si>
  <si>
    <t>Author</t>
  </si>
  <si>
    <t>Message</t>
  </si>
  <si>
    <t>ID</t>
  </si>
  <si>
    <t>Anonymous</t>
  </si>
  <si>
    <t>Javer kind of smells a little</t>
  </si>
  <si>
    <t>b7a26fbe</t>
  </si>
  <si>
    <t>ff540ee1</t>
  </si>
  <si>
    <t>KINGNGL</t>
  </si>
  <si>
    <t>Bouta go Brooklyn on yo ass</t>
  </si>
  <si>
    <t>31f625a6</t>
  </si>
  <si>
    <t>Paige</t>
  </si>
  <si>
    <t>Jordan’s ass at bowling</t>
  </si>
  <si>
    <t>b8dedc11</t>
  </si>
  <si>
    <t>c1ea4826</t>
  </si>
  <si>
    <t>Avg</t>
  </si>
  <si>
    <t>Champion</t>
  </si>
  <si>
    <t>Date</t>
  </si>
  <si>
    <t>Season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</si>
</sst>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"/>
    <numFmt numFmtId="166" formatCode="m/d/yyyy h:mm:ss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E8FF47"/>
      <name val="Arial"/>
      <scheme val="minor"/>
    </font>
    <font>
      <color rgb="FFFF0000"/>
      <name val="Arial"/>
      <scheme val="minor"/>
    </font>
    <font>
      <b/>
      <sz val="14.0"/>
      <color theme="1"/>
      <name val="Arial"/>
      <scheme val="minor"/>
    </font>
    <font>
      <i/>
      <color theme="1"/>
      <name val="Arial"/>
      <scheme val="minor"/>
    </font>
    <font>
      <i/>
      <color rgb="FF888888"/>
      <name val="Arial"/>
      <scheme val="minor"/>
    </font>
    <font>
      <b/>
      <sz val="16.0"/>
      <color theme="1"/>
      <name val="Arial"/>
      <scheme val="minor"/>
    </font>
    <font/>
    <font>
      <b/>
      <color rgb="FFFF0000"/>
      <name val="Arial"/>
      <scheme val="minor"/>
    </font>
    <font>
      <b/>
      <sz val="12.0"/>
      <color rgb="FFFFFFFF"/>
      <name val="Carlito"/>
    </font>
    <font>
      <sz val="12.0"/>
      <color rgb="FF000000"/>
      <name val="Carlito"/>
    </font>
  </fonts>
  <fills count="14">
    <fill>
      <patternFill patternType="none"/>
    </fill>
    <fill>
      <patternFill patternType="lightGray"/>
    </fill>
    <fill>
      <patternFill patternType="solid">
        <fgColor rgb="FF1C1C21"/>
        <bgColor rgb="FF1C1C21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EEEEEE"/>
        <bgColor rgb="FFEEEEEE"/>
      </patternFill>
    </fill>
    <fill>
      <patternFill patternType="solid">
        <fgColor rgb="FF3A1F24"/>
        <bgColor rgb="FF3A1F24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193C65"/>
        <bgColor rgb="FF193C65"/>
      </patternFill>
    </fill>
    <fill>
      <patternFill patternType="solid">
        <fgColor rgb="FFC6D8E0"/>
        <bgColor rgb="FFC6D8E0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18EA5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618EA5"/>
      </right>
      <top style="thin">
        <color rgb="FF618EA5"/>
      </top>
      <bottom style="thin">
        <color rgb="FF618EA5"/>
      </bottom>
    </border>
    <border>
      <left style="thin">
        <color rgb="FF618EA5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618EA5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618EA5"/>
      </left>
      <right style="thin">
        <color rgb="FF9A9A9A"/>
      </right>
      <top style="thin">
        <color rgb="FF618EA5"/>
      </top>
      <bottom style="thin">
        <color rgb="FF618EA5"/>
      </bottom>
    </border>
    <border>
      <left style="thin">
        <color rgb="FF9A9A9A"/>
      </left>
      <right style="thin">
        <color rgb="FF9A9A9A"/>
      </right>
      <top style="thin">
        <color rgb="FF618EA5"/>
      </top>
      <bottom style="thin">
        <color rgb="FF618EA5"/>
      </bottom>
    </border>
    <border>
      <left style="thin">
        <color rgb="FF9A9A9A"/>
      </left>
      <right style="thin">
        <color rgb="FF618EA5"/>
      </right>
      <top style="thin">
        <color rgb="FF618EA5"/>
      </top>
      <bottom style="thin">
        <color rgb="FF618EA5"/>
      </bottom>
    </border>
    <border>
      <left style="thin">
        <color rgb="FF618EA5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49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3" xfId="0" applyAlignment="1" applyFont="1" applyNumberFormat="1">
      <alignment shrinkToFit="0" vertical="center" wrapText="0"/>
    </xf>
    <xf borderId="0" fillId="3" fontId="2" numFmtId="165" xfId="0" applyAlignment="1" applyFont="1" applyNumberFormat="1">
      <alignment shrinkToFit="0" vertical="center" wrapText="0"/>
    </xf>
    <xf borderId="0" fillId="0" fontId="4" numFmtId="1" xfId="0" applyFont="1" applyNumberFormat="1"/>
    <xf borderId="0" fillId="3" fontId="2" numFmtId="3" xfId="0" applyAlignment="1" applyFont="1" applyNumberFormat="1">
      <alignment readingOrder="0" shrinkToFit="0" vertical="center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3" xfId="0" applyAlignment="1" applyFont="1" applyNumberFormat="1">
      <alignment shrinkToFit="0" vertical="center" wrapText="0"/>
    </xf>
    <xf borderId="0" fillId="4" fontId="2" numFmtId="165" xfId="0" applyAlignment="1" applyFont="1" applyNumberFormat="1">
      <alignment shrinkToFit="0" vertical="center" wrapText="0"/>
    </xf>
    <xf borderId="0" fillId="4" fontId="2" numFmtId="3" xfId="0" applyAlignment="1" applyFont="1" applyNumberFormat="1">
      <alignment readingOrder="0" shrinkToFit="0" vertical="center" wrapText="0"/>
    </xf>
    <xf borderId="0" fillId="5" fontId="2" numFmtId="0" xfId="0" applyAlignment="1" applyFill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3" xfId="0" applyAlignment="1" applyFont="1" applyNumberFormat="1">
      <alignment shrinkToFit="0" vertical="center" wrapText="0"/>
    </xf>
    <xf borderId="0" fillId="5" fontId="2" numFmtId="165" xfId="0" applyAlignment="1" applyFont="1" applyNumberFormat="1">
      <alignment shrinkToFit="0" vertical="center" wrapText="0"/>
    </xf>
    <xf borderId="0" fillId="5" fontId="4" numFmtId="0" xfId="0" applyAlignment="1" applyFont="1">
      <alignment readingOrder="0" shrinkToFit="0" vertical="center" wrapText="0"/>
    </xf>
    <xf borderId="0" fillId="6" fontId="2" numFmtId="0" xfId="0" applyAlignment="1" applyFill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3" xfId="0" applyAlignment="1" applyFont="1" applyNumberFormat="1">
      <alignment shrinkToFit="0" vertical="center" wrapText="0"/>
    </xf>
    <xf borderId="0" fillId="6" fontId="2" numFmtId="165" xfId="0" applyAlignment="1" applyFont="1" applyNumberFormat="1">
      <alignment shrinkToFit="0" vertical="center" wrapText="0"/>
    </xf>
    <xf borderId="0" fillId="6" fontId="4" numFmtId="0" xfId="0" applyAlignment="1" applyFont="1">
      <alignment readingOrder="0" shrinkToFit="0" vertical="center" wrapText="0"/>
    </xf>
    <xf borderId="0" fillId="6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9" fontId="2" numFmtId="0" xfId="0" applyAlignment="1" applyFill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10" fontId="2" numFmtId="0" xfId="0" applyAlignment="1" applyFill="1" applyFont="1">
      <alignment readingOrder="0"/>
    </xf>
    <xf borderId="0" fillId="3" fontId="2" numFmtId="0" xfId="0" applyAlignment="1" applyFont="1">
      <alignment readingOrder="0" shrinkToFit="0" vertical="center" wrapText="0"/>
    </xf>
    <xf borderId="0" fillId="3" fontId="2" numFmtId="3" xfId="0" applyAlignment="1" applyFont="1" applyNumberForma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165" xfId="0" applyAlignment="1" applyFont="1" applyNumberFormat="1">
      <alignment horizontal="center" readingOrder="0" shrinkToFit="0" vertical="center" wrapText="0"/>
    </xf>
    <xf borderId="0" fillId="3" fontId="2" numFmtId="3" xfId="0" applyAlignment="1" applyFont="1" applyNumberFormat="1">
      <alignment horizontal="center"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4" fontId="2" numFmtId="3" xfId="0" applyAlignment="1" applyFont="1" applyNumberFormat="1">
      <alignment horizontal="center" shrinkToFit="0" vertical="center" wrapText="0"/>
    </xf>
    <xf borderId="0" fillId="4" fontId="2" numFmtId="0" xfId="0" applyAlignment="1" applyFont="1">
      <alignment horizontal="center" readingOrder="0" shrinkToFit="0" vertical="center" wrapText="0"/>
    </xf>
    <xf borderId="0" fillId="4" fontId="2" numFmtId="165" xfId="0" applyAlignment="1" applyFont="1" applyNumberFormat="1">
      <alignment horizontal="center" readingOrder="0" shrinkToFit="0" vertical="center" wrapText="0"/>
    </xf>
    <xf borderId="0" fillId="4" fontId="2" numFmtId="3" xfId="0" applyAlignment="1" applyFont="1" applyNumberFormat="1">
      <alignment horizontal="center"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3" xfId="0" applyAlignment="1" applyFont="1" applyNumberFormat="1">
      <alignment horizontal="center" shrinkToFit="0" vertical="center" wrapText="0"/>
    </xf>
    <xf borderId="0" fillId="5" fontId="2" numFmtId="0" xfId="0" applyAlignment="1" applyFont="1">
      <alignment horizontal="center" readingOrder="0" shrinkToFit="0" vertical="center" wrapText="0"/>
    </xf>
    <xf borderId="0" fillId="5" fontId="2" numFmtId="165" xfId="0" applyAlignment="1" applyFont="1" applyNumberFormat="1">
      <alignment horizontal="center"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3" xfId="0" applyAlignment="1" applyFont="1" applyNumberFormat="1">
      <alignment horizontal="center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6" fontId="2" numFmtId="165" xfId="0" applyAlignment="1" applyFont="1" applyNumberFormat="1">
      <alignment horizontal="center" readingOrder="0" shrinkToFit="0" vertical="center" wrapText="0"/>
    </xf>
    <xf borderId="0" fillId="6" fontId="2" numFmtId="3" xfId="0" applyAlignment="1" applyFont="1" applyNumberFormat="1">
      <alignment horizontal="center"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6" fontId="2" numFmtId="3" xfId="0" applyAlignment="1" applyFont="1" applyNumberFormat="1">
      <alignment horizontal="center" shrinkToFit="0" vertical="center" wrapText="0"/>
    </xf>
    <xf borderId="0" fillId="6" fontId="2" numFmtId="0" xfId="0" applyAlignment="1" applyFont="1">
      <alignment horizontal="center" readingOrder="0" shrinkToFit="0" vertical="center" wrapText="0"/>
    </xf>
    <xf borderId="0" fillId="6" fontId="2" numFmtId="165" xfId="0" applyAlignment="1" applyFont="1" applyNumberFormat="1">
      <alignment horizontal="center" readingOrder="0" shrinkToFit="0" vertical="center" wrapText="0"/>
    </xf>
    <xf borderId="0" fillId="6" fontId="2" numFmtId="165" xfId="0" applyAlignment="1" applyFont="1" applyNumberFormat="1">
      <alignment shrinkToFit="0" vertical="center" wrapText="0"/>
    </xf>
    <xf borderId="0" fillId="0" fontId="8" numFmtId="0" xfId="0" applyAlignment="1" applyFont="1">
      <alignment readingOrder="0"/>
    </xf>
    <xf borderId="0" fillId="10" fontId="1" numFmtId="0" xfId="0" applyAlignment="1" applyFont="1">
      <alignment horizontal="left" readingOrder="0" vertical="center"/>
    </xf>
    <xf borderId="1" fillId="10" fontId="1" numFmtId="0" xfId="0" applyAlignment="1" applyBorder="1" applyFont="1">
      <alignment horizontal="center" readingOrder="0"/>
    </xf>
    <xf borderId="2" fillId="0" fontId="9" numFmtId="0" xfId="0" applyBorder="1" applyFont="1"/>
    <xf borderId="3" fillId="0" fontId="9" numFmtId="0" xfId="0" applyBorder="1" applyFont="1"/>
    <xf borderId="4" fillId="0" fontId="10" numFmtId="0" xfId="0" applyAlignment="1" applyBorder="1" applyFont="1">
      <alignment horizontal="center" readingOrder="0"/>
    </xf>
    <xf borderId="4" fillId="0" fontId="10" numFmtId="1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4" fillId="0" fontId="1" numFmtId="1" xfId="0" applyAlignment="1" applyBorder="1" applyFont="1" applyNumberFormat="1">
      <alignment horizontal="center" readingOrder="0"/>
    </xf>
    <xf borderId="4" fillId="0" fontId="2" numFmtId="1" xfId="0" applyAlignment="1" applyBorder="1" applyFont="1" applyNumberFormat="1">
      <alignment horizontal="center" readingOrder="0"/>
    </xf>
    <xf borderId="4" fillId="0" fontId="1" numFmtId="1" xfId="0" applyAlignment="1" applyBorder="1" applyFont="1" applyNumberFormat="1">
      <alignment horizontal="center"/>
    </xf>
    <xf borderId="4" fillId="10" fontId="1" numFmtId="1" xfId="0" applyAlignment="1" applyBorder="1" applyFont="1" applyNumberFormat="1">
      <alignment horizontal="center"/>
    </xf>
    <xf borderId="4" fillId="11" fontId="1" numFmtId="1" xfId="0" applyAlignment="1" applyBorder="1" applyFill="1" applyFont="1" applyNumberFormat="1">
      <alignment horizontal="center"/>
    </xf>
    <xf borderId="4" fillId="0" fontId="2" numFmtId="1" xfId="0" applyAlignment="1" applyBorder="1" applyFont="1" applyNumberFormat="1">
      <alignment horizontal="center"/>
    </xf>
    <xf borderId="4" fillId="0" fontId="2" numFmtId="0" xfId="0" applyBorder="1" applyFont="1"/>
    <xf borderId="0" fillId="0" fontId="2" numFmtId="0" xfId="0" applyFont="1"/>
    <xf borderId="0" fillId="12" fontId="11" numFmtId="0" xfId="0" applyAlignment="1" applyFill="1" applyFont="1">
      <alignment horizontal="center" readingOrder="0"/>
    </xf>
    <xf borderId="5" fillId="12" fontId="11" numFmtId="0" xfId="0" applyAlignment="1" applyBorder="1" applyFont="1">
      <alignment horizontal="center" readingOrder="0"/>
    </xf>
    <xf borderId="6" fillId="12" fontId="11" numFmtId="0" xfId="0" applyAlignment="1" applyBorder="1" applyFont="1">
      <alignment horizontal="center" readingOrder="0"/>
    </xf>
    <xf borderId="6" fillId="12" fontId="11" numFmtId="1" xfId="0" applyAlignment="1" applyBorder="1" applyFont="1" applyNumberFormat="1">
      <alignment horizontal="center" readingOrder="0"/>
    </xf>
    <xf borderId="7" fillId="12" fontId="11" numFmtId="1" xfId="0" applyAlignment="1" applyBorder="1" applyFont="1" applyNumberFormat="1">
      <alignment horizontal="center" readingOrder="0"/>
    </xf>
    <xf borderId="8" fillId="12" fontId="11" numFmtId="1" xfId="0" applyAlignment="1" applyBorder="1" applyFont="1" applyNumberFormat="1">
      <alignment horizontal="center" readingOrder="0"/>
    </xf>
    <xf borderId="9" fillId="12" fontId="11" numFmtId="0" xfId="0" applyAlignment="1" applyBorder="1" applyFont="1">
      <alignment horizontal="center" readingOrder="0"/>
    </xf>
    <xf borderId="0" fillId="13" fontId="12" numFmtId="0" xfId="0" applyAlignment="1" applyFill="1" applyFont="1">
      <alignment horizontal="center" readingOrder="0"/>
    </xf>
    <xf borderId="5" fillId="13" fontId="12" numFmtId="0" xfId="0" applyAlignment="1" applyBorder="1" applyFont="1">
      <alignment horizontal="center" readingOrder="0"/>
    </xf>
    <xf borderId="6" fillId="13" fontId="12" numFmtId="0" xfId="0" applyAlignment="1" applyBorder="1" applyFont="1">
      <alignment readingOrder="0"/>
    </xf>
    <xf borderId="6" fillId="13" fontId="12" numFmtId="0" xfId="0" applyAlignment="1" applyBorder="1" applyFont="1">
      <alignment horizontal="center" readingOrder="0"/>
    </xf>
    <xf borderId="6" fillId="13" fontId="12" numFmtId="1" xfId="0" applyAlignment="1" applyBorder="1" applyFont="1" applyNumberFormat="1">
      <alignment horizontal="center" readingOrder="0"/>
    </xf>
    <xf borderId="7" fillId="13" fontId="12" numFmtId="1" xfId="0" applyAlignment="1" applyBorder="1" applyFont="1" applyNumberFormat="1">
      <alignment horizontal="center" readingOrder="0"/>
    </xf>
    <xf borderId="10" fillId="11" fontId="12" numFmtId="1" xfId="0" applyAlignment="1" applyBorder="1" applyFont="1" applyNumberFormat="1">
      <alignment readingOrder="0"/>
    </xf>
    <xf borderId="11" fillId="11" fontId="12" numFmtId="0" xfId="0" applyAlignment="1" applyBorder="1" applyFont="1">
      <alignment readingOrder="0"/>
    </xf>
    <xf borderId="12" fillId="11" fontId="12" numFmtId="0" xfId="0" applyAlignment="1" applyBorder="1" applyFont="1">
      <alignment horizontal="center" readingOrder="0"/>
    </xf>
    <xf borderId="13" fillId="11" fontId="12" numFmtId="0" xfId="0" applyAlignment="1" applyBorder="1" applyFont="1">
      <alignment readingOrder="0"/>
    </xf>
    <xf borderId="13" fillId="11" fontId="12" numFmtId="0" xfId="0" applyAlignment="1" applyBorder="1" applyFont="1">
      <alignment horizontal="center" readingOrder="0"/>
    </xf>
    <xf borderId="13" fillId="11" fontId="12" numFmtId="1" xfId="0" applyAlignment="1" applyBorder="1" applyFont="1" applyNumberFormat="1">
      <alignment horizontal="center" readingOrder="0"/>
    </xf>
    <xf borderId="14" fillId="11" fontId="12" numFmtId="1" xfId="0" applyAlignment="1" applyBorder="1" applyFont="1" applyNumberFormat="1">
      <alignment horizontal="center" readingOrder="0"/>
    </xf>
    <xf borderId="15" fillId="11" fontId="12" numFmtId="1" xfId="0" applyAlignment="1" applyBorder="1" applyFont="1" applyNumberFormat="1">
      <alignment readingOrder="0"/>
    </xf>
    <xf borderId="16" fillId="11" fontId="12" numFmtId="0" xfId="0" applyAlignment="1" applyBorder="1" applyFont="1">
      <alignment readingOrder="0"/>
    </xf>
    <xf borderId="13" fillId="11" fontId="2" numFmtId="1" xfId="0" applyBorder="1" applyFont="1" applyNumberFormat="1"/>
    <xf borderId="6" fillId="13" fontId="2" numFmtId="1" xfId="0" applyBorder="1" applyFont="1" applyNumberFormat="1"/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4">
    <tableStyle count="4" pivot="0" name="Adm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in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ing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ster Av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" displayName="Admin" name="Admin" id="1">
  <tableColumns count="4">
    <tableColumn name="Members" id="1"/>
    <tableColumn name="Jersey Ordered" id="2"/>
    <tableColumn name="Registration Fee Paid" id="3"/>
    <tableColumn name="Season 2 Fee" id="4"/>
  </tableColumns>
  <tableStyleInfo name="Admin-style" showColumnStripes="0" showFirstColumn="1" showLastColumn="1" showRowStripes="1"/>
</table>
</file>

<file path=xl/tables/table2.xml><?xml version="1.0" encoding="utf-8"?>
<table xmlns="http://schemas.openxmlformats.org/spreadsheetml/2006/main" ref="A1:G13" displayName="Season_1_Final_Standings" name="Season_1_Final_Standings" id="2">
  <tableColumns count="7">
    <tableColumn name="Members" id="1"/>
    <tableColumn name="Wins" id="2"/>
    <tableColumn name="Losses" id="3"/>
    <tableColumn name="Points Scored" id="4"/>
    <tableColumn name="Games Played" id="5"/>
    <tableColumn name="Player Average" id="6"/>
    <tableColumn name="Team" id="7"/>
  </tableColumns>
  <tableStyleInfo name="Standings-style" showColumnStripes="0" showFirstColumn="1" showLastColumn="1" showRowStripes="1"/>
</table>
</file>

<file path=xl/tables/table3.xml><?xml version="1.0" encoding="utf-8"?>
<table xmlns="http://schemas.openxmlformats.org/spreadsheetml/2006/main" ref="A22:E34" displayName="Week_4" name="Week_4" id="3">
  <tableColumns count="5">
    <tableColumn name="Members" id="1"/>
    <tableColumn name="Wins" id="2"/>
    <tableColumn name="Losses" id="3"/>
    <tableColumn name="Points Scored" id="4"/>
    <tableColumn name="Games Played" id="5"/>
  </tableColumns>
  <tableStyleInfo name="Standings-style 2" showColumnStripes="0" showFirstColumn="1" showLastColumn="1" showRowStripes="1"/>
</table>
</file>

<file path=xl/tables/table4.xml><?xml version="1.0" encoding="utf-8"?>
<table xmlns="http://schemas.openxmlformats.org/spreadsheetml/2006/main" ref="A1:I14" displayName="Season_1_Final_Rankings" name="Season_1_Final_Rankings" id="4">
  <tableColumns count="9">
    <tableColumn name="Members" id="1"/>
    <tableColumn name="Current Week Status" id="2"/>
    <tableColumn name="Points Scored" id="3"/>
    <tableColumn name="Games Played" id="4"/>
    <tableColumn name="Current Avg" id="5"/>
    <tableColumn name="Wins" id="6"/>
    <tableColumn name="Losses" id="7"/>
    <tableColumn name="Player Average" id="8"/>
    <tableColumn name="Team" id="9"/>
  </tableColumns>
  <tableStyleInfo name="Roster Av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20.25"/>
    <col customWidth="1" min="3" max="3" width="24.75"/>
    <col customWidth="1" min="4" max="4" width="18.75"/>
    <col customWidth="1" min="5" max="5" width="18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4"/>
    </row>
    <row r="2" ht="22.5" customHeight="1">
      <c r="A2" s="5" t="s">
        <v>4</v>
      </c>
      <c r="B2" s="6" t="s">
        <v>5</v>
      </c>
      <c r="C2" s="6" t="s">
        <v>5</v>
      </c>
      <c r="D2" s="6" t="s">
        <v>5</v>
      </c>
      <c r="G2" s="7"/>
    </row>
    <row r="3" ht="22.5" customHeight="1">
      <c r="A3" s="5" t="s">
        <v>6</v>
      </c>
      <c r="B3" s="6" t="s">
        <v>5</v>
      </c>
      <c r="C3" s="6" t="s">
        <v>5</v>
      </c>
      <c r="D3" s="6" t="s">
        <v>5</v>
      </c>
    </row>
    <row r="4" ht="22.5" customHeight="1">
      <c r="A4" s="5" t="s">
        <v>7</v>
      </c>
      <c r="B4" s="6" t="s">
        <v>5</v>
      </c>
      <c r="C4" s="6" t="s">
        <v>5</v>
      </c>
      <c r="D4" s="6" t="s">
        <v>5</v>
      </c>
      <c r="E4" s="4"/>
      <c r="F4" s="4"/>
    </row>
    <row r="5" ht="22.5" customHeight="1">
      <c r="A5" s="5" t="s">
        <v>8</v>
      </c>
      <c r="B5" s="6" t="s">
        <v>5</v>
      </c>
      <c r="C5" s="6" t="s">
        <v>5</v>
      </c>
      <c r="D5" s="6" t="s">
        <v>5</v>
      </c>
      <c r="E5" s="8"/>
    </row>
    <row r="6" ht="22.5" customHeight="1">
      <c r="A6" s="5" t="s">
        <v>9</v>
      </c>
      <c r="B6" s="6" t="s">
        <v>5</v>
      </c>
      <c r="C6" s="6" t="s">
        <v>5</v>
      </c>
      <c r="D6" s="6" t="s">
        <v>5</v>
      </c>
    </row>
    <row r="7" ht="22.5" customHeight="1">
      <c r="A7" s="5" t="s">
        <v>10</v>
      </c>
      <c r="B7" s="6" t="s">
        <v>5</v>
      </c>
      <c r="C7" s="6" t="s">
        <v>5</v>
      </c>
      <c r="D7" s="6" t="s">
        <v>5</v>
      </c>
    </row>
    <row r="8" ht="22.5" customHeight="1">
      <c r="A8" s="5" t="s">
        <v>11</v>
      </c>
      <c r="B8" s="6" t="s">
        <v>5</v>
      </c>
      <c r="C8" s="6" t="s">
        <v>5</v>
      </c>
      <c r="D8" s="6" t="s">
        <v>5</v>
      </c>
    </row>
    <row r="9" ht="22.5" customHeight="1">
      <c r="A9" s="5" t="s">
        <v>12</v>
      </c>
      <c r="B9" s="6" t="s">
        <v>5</v>
      </c>
      <c r="C9" s="6" t="s">
        <v>5</v>
      </c>
      <c r="D9" s="6" t="s">
        <v>5</v>
      </c>
    </row>
    <row r="10" ht="22.5" customHeight="1">
      <c r="A10" s="5" t="s">
        <v>13</v>
      </c>
      <c r="B10" s="6" t="s">
        <v>5</v>
      </c>
      <c r="C10" s="6" t="s">
        <v>5</v>
      </c>
      <c r="D10" s="6" t="s">
        <v>5</v>
      </c>
    </row>
    <row r="11" ht="22.5" customHeight="1">
      <c r="A11" s="5" t="s">
        <v>14</v>
      </c>
      <c r="B11" s="6" t="s">
        <v>5</v>
      </c>
      <c r="C11" s="6" t="s">
        <v>5</v>
      </c>
      <c r="D11" s="6" t="s">
        <v>5</v>
      </c>
    </row>
    <row r="12" ht="22.5" customHeight="1">
      <c r="A12" s="9" t="s">
        <v>15</v>
      </c>
      <c r="B12" s="6" t="s">
        <v>5</v>
      </c>
      <c r="C12" s="6" t="s">
        <v>5</v>
      </c>
      <c r="D12" s="6" t="s">
        <v>16</v>
      </c>
    </row>
    <row r="13" ht="22.5" customHeight="1">
      <c r="A13" s="9" t="s">
        <v>17</v>
      </c>
      <c r="B13" s="6" t="s">
        <v>5</v>
      </c>
      <c r="C13" s="6" t="s">
        <v>5</v>
      </c>
      <c r="D13" s="6" t="s">
        <v>5</v>
      </c>
    </row>
    <row r="14" ht="22.5" customHeight="1">
      <c r="A14" s="9" t="s">
        <v>18</v>
      </c>
      <c r="B14" s="6" t="s">
        <v>5</v>
      </c>
      <c r="C14" s="6" t="s">
        <v>16</v>
      </c>
      <c r="D14" s="6" t="s">
        <v>5</v>
      </c>
    </row>
    <row r="15" ht="22.5" customHeight="1">
      <c r="A15" s="10"/>
      <c r="B15" s="11"/>
      <c r="C15" s="11"/>
      <c r="D15" s="11"/>
    </row>
    <row r="16">
      <c r="A16" s="3"/>
    </row>
  </sheetData>
  <dataValidations>
    <dataValidation type="list" allowBlank="1" sqref="C2:D15">
      <formula1>"Yes,No,N/A"</formula1>
    </dataValidation>
    <dataValidation allowBlank="1" showDropDown="1" sqref="A2:A15"/>
    <dataValidation type="list" allowBlank="1" sqref="B2:B15">
      <formula1>"Yes,No"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3.75"/>
  </cols>
  <sheetData>
    <row r="1">
      <c r="A1" s="12" t="s">
        <v>19</v>
      </c>
      <c r="B1" s="12" t="s">
        <v>20</v>
      </c>
    </row>
    <row r="2">
      <c r="A2" s="13" t="s">
        <v>21</v>
      </c>
      <c r="B2" s="14">
        <v>2.0</v>
      </c>
    </row>
    <row r="3">
      <c r="A3" s="13" t="s">
        <v>22</v>
      </c>
      <c r="B3" s="13" t="s">
        <v>23</v>
      </c>
    </row>
    <row r="4">
      <c r="A4" s="13" t="s">
        <v>24</v>
      </c>
      <c r="B4" s="13" t="s">
        <v>25</v>
      </c>
    </row>
    <row r="5">
      <c r="A5" s="13" t="s">
        <v>26</v>
      </c>
      <c r="B5" s="13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5.0"/>
    <col customWidth="1" min="4" max="4" width="3.88"/>
    <col customWidth="1" min="5" max="5" width="5.25"/>
    <col customWidth="1" min="6" max="7" width="7.63"/>
    <col customWidth="1" min="8" max="9" width="6.38"/>
    <col customWidth="1" min="10" max="10" width="4.88"/>
  </cols>
  <sheetData>
    <row r="1">
      <c r="A1" s="12" t="s">
        <v>28</v>
      </c>
      <c r="B1" s="12" t="s">
        <v>29</v>
      </c>
      <c r="C1" s="12" t="s">
        <v>30</v>
      </c>
      <c r="D1" s="12" t="s">
        <v>31</v>
      </c>
      <c r="E1" s="12" t="s">
        <v>32</v>
      </c>
      <c r="F1" s="12" t="s">
        <v>33</v>
      </c>
      <c r="G1" s="12" t="s">
        <v>34</v>
      </c>
      <c r="H1" s="12" t="s">
        <v>35</v>
      </c>
      <c r="I1" s="12" t="s">
        <v>36</v>
      </c>
      <c r="J1" s="12" t="s">
        <v>37</v>
      </c>
      <c r="K1" s="12" t="s">
        <v>38</v>
      </c>
      <c r="L1" s="12" t="s">
        <v>39</v>
      </c>
    </row>
    <row r="10">
      <c r="A10" s="14"/>
      <c r="B10" s="14"/>
      <c r="C10" s="13"/>
      <c r="D10" s="14"/>
      <c r="E10" s="13"/>
      <c r="F10" s="14"/>
      <c r="G10" s="14"/>
      <c r="I10" s="13"/>
      <c r="J10" s="13"/>
      <c r="K10" s="13"/>
      <c r="L10" s="13"/>
    </row>
    <row r="11">
      <c r="A11" s="14"/>
      <c r="B11" s="14"/>
      <c r="C11" s="13"/>
      <c r="D11" s="14"/>
      <c r="E11" s="13"/>
      <c r="F11" s="14"/>
      <c r="G11" s="14"/>
      <c r="I11" s="13"/>
      <c r="J11" s="13"/>
      <c r="L11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4" max="4" width="19.13"/>
    <col customWidth="1" min="5" max="5" width="19.38"/>
    <col customWidth="1" hidden="1" min="6" max="6" width="16.5"/>
  </cols>
  <sheetData>
    <row r="1" ht="22.5" customHeight="1">
      <c r="A1" s="1" t="s">
        <v>0</v>
      </c>
      <c r="B1" s="15" t="s">
        <v>40</v>
      </c>
      <c r="C1" s="15" t="s">
        <v>41</v>
      </c>
      <c r="D1" s="15" t="s">
        <v>42</v>
      </c>
      <c r="E1" s="15" t="s">
        <v>43</v>
      </c>
      <c r="F1" s="15" t="s">
        <v>44</v>
      </c>
      <c r="G1" s="15" t="s">
        <v>30</v>
      </c>
      <c r="I1" s="13" t="s">
        <v>45</v>
      </c>
    </row>
    <row r="2" ht="22.5" customHeight="1">
      <c r="A2" s="16" t="s">
        <v>4</v>
      </c>
      <c r="B2" s="17">
        <v>6.0</v>
      </c>
      <c r="C2" s="17">
        <v>5.0</v>
      </c>
      <c r="D2" s="18">
        <f>120+108+143+152+88+90+129+140+100+244</f>
        <v>1314</v>
      </c>
      <c r="E2" s="17">
        <f t="shared" ref="E2:E13" si="1">sum(B2:C2)</f>
        <v>11</v>
      </c>
      <c r="F2" s="19">
        <f t="shared" ref="F2:F13" si="2">D2/E2</f>
        <v>119.4545455</v>
      </c>
      <c r="G2" s="16" t="s">
        <v>4</v>
      </c>
      <c r="I2" s="20">
        <f>sum(Season_1_Final_Standings[Points Scored])/sum(Season_1_Final_Standings[Games Played])</f>
        <v>111.1487603</v>
      </c>
    </row>
    <row r="3" ht="22.5" customHeight="1">
      <c r="A3" s="16" t="s">
        <v>17</v>
      </c>
      <c r="B3" s="17">
        <v>6.0</v>
      </c>
      <c r="C3" s="17">
        <v>3.0</v>
      </c>
      <c r="D3" s="21">
        <f>112+111+104+114+115+139+155+131+107</f>
        <v>1088</v>
      </c>
      <c r="E3" s="17">
        <f t="shared" si="1"/>
        <v>9</v>
      </c>
      <c r="F3" s="19">
        <f t="shared" si="2"/>
        <v>120.8888889</v>
      </c>
      <c r="G3" s="16" t="s">
        <v>4</v>
      </c>
    </row>
    <row r="4" ht="22.5" customHeight="1">
      <c r="A4" s="16" t="s">
        <v>12</v>
      </c>
      <c r="B4" s="17">
        <v>1.0</v>
      </c>
      <c r="C4" s="17">
        <v>5.0</v>
      </c>
      <c r="D4" s="21">
        <f>116+95+89+85+152+78</f>
        <v>615</v>
      </c>
      <c r="E4" s="17">
        <f t="shared" si="1"/>
        <v>6</v>
      </c>
      <c r="F4" s="19">
        <f t="shared" si="2"/>
        <v>102.5</v>
      </c>
      <c r="G4" s="16" t="s">
        <v>4</v>
      </c>
    </row>
    <row r="5" ht="22.5" customHeight="1">
      <c r="A5" s="22" t="s">
        <v>13</v>
      </c>
      <c r="B5" s="23">
        <v>6.0</v>
      </c>
      <c r="C5" s="23">
        <v>7.0</v>
      </c>
      <c r="D5" s="24">
        <f>100+129+99+131+137+137+121+112+119+99+114</f>
        <v>1298</v>
      </c>
      <c r="E5" s="23">
        <f t="shared" si="1"/>
        <v>13</v>
      </c>
      <c r="F5" s="25">
        <f t="shared" si="2"/>
        <v>99.84615385</v>
      </c>
      <c r="G5" s="22" t="s">
        <v>13</v>
      </c>
    </row>
    <row r="6" ht="22.5" customHeight="1">
      <c r="A6" s="22" t="s">
        <v>10</v>
      </c>
      <c r="B6" s="23">
        <v>6.0</v>
      </c>
      <c r="C6" s="23">
        <v>5.0</v>
      </c>
      <c r="D6" s="24">
        <f>110+125+78+126+91+90+104+259+130+124</f>
        <v>1237</v>
      </c>
      <c r="E6" s="23">
        <f t="shared" si="1"/>
        <v>11</v>
      </c>
      <c r="F6" s="25">
        <f t="shared" si="2"/>
        <v>112.4545455</v>
      </c>
      <c r="G6" s="22" t="s">
        <v>13</v>
      </c>
    </row>
    <row r="7" ht="22.5" customHeight="1">
      <c r="A7" s="22" t="s">
        <v>8</v>
      </c>
      <c r="B7" s="23">
        <v>2.0</v>
      </c>
      <c r="C7" s="23">
        <v>6.0</v>
      </c>
      <c r="D7" s="26">
        <f>143+119+112+134+80+128+242</f>
        <v>958</v>
      </c>
      <c r="E7" s="23">
        <f t="shared" si="1"/>
        <v>8</v>
      </c>
      <c r="F7" s="25">
        <f t="shared" si="2"/>
        <v>119.75</v>
      </c>
      <c r="G7" s="22" t="s">
        <v>13</v>
      </c>
    </row>
    <row r="8" ht="22.5" customHeight="1">
      <c r="A8" s="27" t="s">
        <v>6</v>
      </c>
      <c r="B8" s="28">
        <v>8.0</v>
      </c>
      <c r="C8" s="28">
        <v>7.0</v>
      </c>
      <c r="D8" s="29">
        <f>121+120+92+123+119+97+122+90+115+130+144+233+79+109</f>
        <v>1694</v>
      </c>
      <c r="E8" s="28">
        <f t="shared" si="1"/>
        <v>15</v>
      </c>
      <c r="F8" s="30">
        <f t="shared" si="2"/>
        <v>112.9333333</v>
      </c>
      <c r="G8" s="27" t="s">
        <v>6</v>
      </c>
    </row>
    <row r="9" ht="22.5" customHeight="1">
      <c r="A9" s="27" t="s">
        <v>14</v>
      </c>
      <c r="B9" s="28">
        <v>5.0</v>
      </c>
      <c r="C9" s="28">
        <v>8.0</v>
      </c>
      <c r="D9" s="29">
        <f>135+131+93+120+141+156+145+137+102+138+125+123+131</f>
        <v>1677</v>
      </c>
      <c r="E9" s="28">
        <f t="shared" si="1"/>
        <v>13</v>
      </c>
      <c r="F9" s="30">
        <f t="shared" si="2"/>
        <v>129</v>
      </c>
      <c r="G9" s="27" t="s">
        <v>6</v>
      </c>
    </row>
    <row r="10" ht="22.5" customHeight="1">
      <c r="A10" s="31" t="s">
        <v>46</v>
      </c>
      <c r="B10" s="28">
        <v>2.0</v>
      </c>
      <c r="C10" s="28">
        <v>5.0</v>
      </c>
      <c r="D10" s="29">
        <f>69+101+74+94+94+87+58</f>
        <v>577</v>
      </c>
      <c r="E10" s="28">
        <f t="shared" si="1"/>
        <v>7</v>
      </c>
      <c r="F10" s="30">
        <f t="shared" si="2"/>
        <v>82.42857143</v>
      </c>
      <c r="G10" s="27" t="s">
        <v>6</v>
      </c>
    </row>
    <row r="11" ht="22.5" customHeight="1">
      <c r="A11" s="32" t="s">
        <v>7</v>
      </c>
      <c r="B11" s="33">
        <v>8.0</v>
      </c>
      <c r="C11" s="33">
        <v>5.0</v>
      </c>
      <c r="D11" s="34">
        <f>93+70+104+137+95+112+97+127+129+99+124+272</f>
        <v>1459</v>
      </c>
      <c r="E11" s="33">
        <f t="shared" si="1"/>
        <v>13</v>
      </c>
      <c r="F11" s="35">
        <f t="shared" si="2"/>
        <v>112.2307692</v>
      </c>
      <c r="G11" s="32" t="s">
        <v>7</v>
      </c>
    </row>
    <row r="12" ht="22.5" customHeight="1">
      <c r="A12" s="36" t="s">
        <v>47</v>
      </c>
      <c r="B12" s="33">
        <v>5.0</v>
      </c>
      <c r="C12" s="33">
        <v>1.0</v>
      </c>
      <c r="D12" s="37">
        <f>147+145+95+113+165+119</f>
        <v>784</v>
      </c>
      <c r="E12" s="33">
        <f t="shared" si="1"/>
        <v>6</v>
      </c>
      <c r="F12" s="35">
        <f t="shared" si="2"/>
        <v>130.6666667</v>
      </c>
      <c r="G12" s="32" t="s">
        <v>7</v>
      </c>
    </row>
    <row r="13" ht="22.5" customHeight="1">
      <c r="A13" s="32" t="s">
        <v>9</v>
      </c>
      <c r="B13" s="33">
        <v>2.0</v>
      </c>
      <c r="C13" s="33">
        <v>7.0</v>
      </c>
      <c r="D13" s="34">
        <f>88+65+95+87+115+76+76+71+75</f>
        <v>748</v>
      </c>
      <c r="E13" s="33">
        <f t="shared" si="1"/>
        <v>9</v>
      </c>
      <c r="F13" s="35">
        <f t="shared" si="2"/>
        <v>83.11111111</v>
      </c>
      <c r="G13" s="32" t="s">
        <v>7</v>
      </c>
    </row>
    <row r="22" ht="22.5" customHeight="1">
      <c r="A22" s="1" t="s">
        <v>0</v>
      </c>
      <c r="B22" s="15" t="s">
        <v>40</v>
      </c>
      <c r="C22" s="15" t="s">
        <v>41</v>
      </c>
      <c r="D22" s="15" t="s">
        <v>42</v>
      </c>
      <c r="E22" s="15" t="s">
        <v>43</v>
      </c>
    </row>
    <row r="23" ht="22.5" customHeight="1">
      <c r="A23" s="5" t="s">
        <v>7</v>
      </c>
      <c r="B23" s="38">
        <v>5.0</v>
      </c>
      <c r="C23" s="38">
        <v>2.0</v>
      </c>
      <c r="D23" s="39">
        <f>93+70+104+137+95+112+97</f>
        <v>708</v>
      </c>
      <c r="E23" s="38">
        <f t="shared" ref="E23:E34" si="3">sum(B23:C23)</f>
        <v>7</v>
      </c>
    </row>
    <row r="24" ht="22.5" customHeight="1">
      <c r="A24" s="5" t="s">
        <v>13</v>
      </c>
      <c r="B24" s="38">
        <v>4.0</v>
      </c>
      <c r="C24" s="38">
        <v>3.0</v>
      </c>
      <c r="D24" s="39">
        <f>100+129+99+131+137+137+121</f>
        <v>854</v>
      </c>
      <c r="E24" s="38">
        <f t="shared" si="3"/>
        <v>7</v>
      </c>
    </row>
    <row r="25" ht="22.5" customHeight="1">
      <c r="A25" s="5" t="s">
        <v>6</v>
      </c>
      <c r="B25" s="38">
        <v>4.0</v>
      </c>
      <c r="C25" s="38">
        <v>3.0</v>
      </c>
      <c r="D25" s="39">
        <f>121+120+92+123+119+97+122</f>
        <v>794</v>
      </c>
      <c r="E25" s="38">
        <f t="shared" si="3"/>
        <v>7</v>
      </c>
    </row>
    <row r="26" ht="22.5" customHeight="1">
      <c r="A26" s="5" t="s">
        <v>14</v>
      </c>
      <c r="B26" s="38">
        <v>3.0</v>
      </c>
      <c r="C26" s="38">
        <v>4.0</v>
      </c>
      <c r="D26" s="39">
        <f>135+131+93+120+141+156+145</f>
        <v>921</v>
      </c>
      <c r="E26" s="38">
        <f t="shared" si="3"/>
        <v>7</v>
      </c>
    </row>
    <row r="27" ht="22.5" customHeight="1">
      <c r="A27" s="40" t="s">
        <v>17</v>
      </c>
      <c r="B27" s="41">
        <v>3.0</v>
      </c>
      <c r="C27" s="41">
        <v>2.0</v>
      </c>
      <c r="D27" s="41">
        <f>112+111+104+114+115</f>
        <v>556</v>
      </c>
      <c r="E27" s="38">
        <f t="shared" si="3"/>
        <v>5</v>
      </c>
    </row>
    <row r="28" ht="22.5" customHeight="1">
      <c r="A28" s="5" t="s">
        <v>4</v>
      </c>
      <c r="B28" s="38">
        <v>2.0</v>
      </c>
      <c r="C28" s="38">
        <v>3.0</v>
      </c>
      <c r="D28" s="39">
        <f>120+108+143+152+88</f>
        <v>611</v>
      </c>
      <c r="E28" s="38">
        <f t="shared" si="3"/>
        <v>5</v>
      </c>
    </row>
    <row r="29" ht="22.5" customHeight="1">
      <c r="A29" s="5" t="s">
        <v>9</v>
      </c>
      <c r="B29" s="38">
        <v>2.0</v>
      </c>
      <c r="C29" s="38">
        <v>3.0</v>
      </c>
      <c r="D29" s="39">
        <f>88+65+95+87+115</f>
        <v>450</v>
      </c>
      <c r="E29" s="38">
        <f t="shared" si="3"/>
        <v>5</v>
      </c>
    </row>
    <row r="30" ht="22.5" customHeight="1">
      <c r="A30" s="5" t="s">
        <v>15</v>
      </c>
      <c r="B30" s="38">
        <v>2.0</v>
      </c>
      <c r="C30" s="38">
        <v>3.0</v>
      </c>
      <c r="D30" s="39">
        <f>69+101+74+94+94</f>
        <v>432</v>
      </c>
      <c r="E30" s="38">
        <f t="shared" si="3"/>
        <v>5</v>
      </c>
    </row>
    <row r="31" ht="22.5" customHeight="1">
      <c r="A31" s="5" t="s">
        <v>11</v>
      </c>
      <c r="B31" s="38">
        <v>2.0</v>
      </c>
      <c r="C31" s="38">
        <v>0.0</v>
      </c>
      <c r="D31" s="38">
        <f>147+145</f>
        <v>292</v>
      </c>
      <c r="E31" s="38">
        <f t="shared" si="3"/>
        <v>2</v>
      </c>
    </row>
    <row r="32" ht="22.5" customHeight="1">
      <c r="A32" s="5" t="s">
        <v>10</v>
      </c>
      <c r="B32" s="38">
        <v>1.0</v>
      </c>
      <c r="C32" s="38">
        <v>2.0</v>
      </c>
      <c r="D32" s="39">
        <f>110+125+78</f>
        <v>313</v>
      </c>
      <c r="E32" s="38">
        <f t="shared" si="3"/>
        <v>3</v>
      </c>
    </row>
    <row r="33" ht="22.5" customHeight="1">
      <c r="A33" s="5" t="s">
        <v>8</v>
      </c>
      <c r="B33" s="38">
        <v>1.0</v>
      </c>
      <c r="C33" s="38">
        <v>1.0</v>
      </c>
      <c r="D33" s="38">
        <f>143+119</f>
        <v>262</v>
      </c>
      <c r="E33" s="38">
        <f t="shared" si="3"/>
        <v>2</v>
      </c>
    </row>
    <row r="34" ht="22.5" customHeight="1">
      <c r="A34" s="5" t="s">
        <v>12</v>
      </c>
      <c r="B34" s="38">
        <v>0.0</v>
      </c>
      <c r="C34" s="38">
        <v>4.0</v>
      </c>
      <c r="D34" s="38">
        <f>116+95+89+85</f>
        <v>385</v>
      </c>
      <c r="E34" s="38">
        <f t="shared" si="3"/>
        <v>4</v>
      </c>
    </row>
  </sheetData>
  <dataValidations>
    <dataValidation type="custom" allowBlank="1" showDropDown="1" sqref="B2:F13 B23:E34">
      <formula1>AND(ISNUMBER(B2),(NOT(OR(NOT(ISERROR(DATEVALUE(B2))), AND(ISNUMBER(B2), LEFT(CELL("format", B2))="D")))))</formula1>
    </dataValidation>
    <dataValidation allowBlank="1" showDropDown="1" sqref="A2:A13 A23:A34"/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0.5"/>
    <col customWidth="1" min="3" max="3" width="9.25"/>
  </cols>
  <sheetData>
    <row r="1">
      <c r="A1" s="42" t="s">
        <v>48</v>
      </c>
      <c r="D1" s="43" t="s">
        <v>49</v>
      </c>
      <c r="F1" s="44" t="s">
        <v>50</v>
      </c>
    </row>
    <row r="2">
      <c r="A2" s="12" t="s">
        <v>51</v>
      </c>
      <c r="B2" s="45"/>
      <c r="C2" s="46">
        <v>475.0</v>
      </c>
      <c r="D2" s="45"/>
    </row>
    <row r="3">
      <c r="A3" s="47"/>
      <c r="B3" s="47" t="s">
        <v>14</v>
      </c>
      <c r="C3" s="47">
        <v>132.0</v>
      </c>
      <c r="D3" s="13" t="s">
        <v>52</v>
      </c>
    </row>
    <row r="4">
      <c r="A4" s="48"/>
      <c r="B4" s="48" t="s">
        <v>13</v>
      </c>
      <c r="C4" s="48">
        <v>120.0</v>
      </c>
      <c r="D4" s="48" t="s">
        <v>52</v>
      </c>
    </row>
    <row r="5">
      <c r="A5" s="48"/>
      <c r="B5" s="48" t="s">
        <v>4</v>
      </c>
      <c r="C5" s="48">
        <v>116.0</v>
      </c>
      <c r="D5" s="48" t="s">
        <v>52</v>
      </c>
    </row>
    <row r="6">
      <c r="A6" s="12"/>
      <c r="B6" s="12" t="s">
        <v>12</v>
      </c>
      <c r="C6" s="12">
        <v>107.3</v>
      </c>
      <c r="D6" s="12" t="s">
        <v>52</v>
      </c>
    </row>
    <row r="7">
      <c r="A7" s="12"/>
      <c r="B7" s="12"/>
      <c r="C7" s="12"/>
      <c r="D7" s="12"/>
    </row>
    <row r="8">
      <c r="A8" s="12" t="s">
        <v>53</v>
      </c>
      <c r="B8" s="12"/>
      <c r="C8" s="12">
        <v>476.0</v>
      </c>
      <c r="D8" s="12"/>
    </row>
    <row r="9">
      <c r="A9" s="12"/>
      <c r="B9" s="12" t="s">
        <v>17</v>
      </c>
      <c r="C9" s="12">
        <v>125.5</v>
      </c>
      <c r="D9" s="12" t="s">
        <v>52</v>
      </c>
    </row>
    <row r="10">
      <c r="A10" s="12"/>
      <c r="B10" s="12" t="s">
        <v>8</v>
      </c>
      <c r="C10" s="12">
        <v>120.2</v>
      </c>
      <c r="D10" s="12" t="s">
        <v>52</v>
      </c>
    </row>
    <row r="11">
      <c r="A11" s="13"/>
      <c r="B11" s="13" t="s">
        <v>10</v>
      </c>
      <c r="C11" s="13">
        <v>115.1</v>
      </c>
      <c r="D11" s="13" t="s">
        <v>52</v>
      </c>
    </row>
    <row r="12">
      <c r="A12" s="12"/>
      <c r="B12" s="12" t="s">
        <v>6</v>
      </c>
      <c r="C12" s="12">
        <v>115.0</v>
      </c>
      <c r="D12" s="12" t="s">
        <v>52</v>
      </c>
    </row>
    <row r="13">
      <c r="A13" s="49"/>
      <c r="B13" s="49"/>
      <c r="C13" s="49"/>
      <c r="D13" s="48"/>
    </row>
    <row r="14">
      <c r="A14" s="12"/>
      <c r="B14" s="12"/>
      <c r="C14" s="12"/>
      <c r="D14" s="12"/>
    </row>
    <row r="15">
      <c r="A15" s="48"/>
      <c r="B15" s="48"/>
      <c r="C15" s="48"/>
      <c r="D15" s="48"/>
    </row>
    <row r="16">
      <c r="A16" s="50"/>
      <c r="B16" s="13"/>
      <c r="C16" s="13"/>
      <c r="D16" s="13"/>
    </row>
    <row r="17">
      <c r="A17" s="12"/>
      <c r="C17" s="12"/>
    </row>
    <row r="18">
      <c r="A18" s="12"/>
      <c r="B18" s="12"/>
      <c r="C18" s="12"/>
      <c r="D18" s="12"/>
    </row>
    <row r="19">
      <c r="A19" s="48"/>
      <c r="B19" s="48"/>
      <c r="C19" s="48"/>
      <c r="D19" s="48"/>
    </row>
    <row r="20">
      <c r="A20" s="48"/>
      <c r="B20" s="48"/>
      <c r="C20" s="48"/>
      <c r="D20" s="48"/>
    </row>
    <row r="21">
      <c r="A21" s="50"/>
      <c r="C21" s="51"/>
    </row>
    <row r="22">
      <c r="A22" s="51"/>
      <c r="B22" s="51"/>
      <c r="C22" s="51"/>
    </row>
    <row r="23">
      <c r="A23" s="51"/>
      <c r="C23" s="51"/>
    </row>
    <row r="24">
      <c r="A24" s="51"/>
      <c r="C24" s="51"/>
    </row>
    <row r="25">
      <c r="A25" s="51"/>
      <c r="C25" s="5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9.13"/>
    <col customWidth="1" min="4" max="4" width="19.38"/>
    <col customWidth="1" min="5" max="5" width="14.13"/>
    <col customWidth="1" min="7" max="7" width="14.0"/>
    <col customWidth="1" hidden="1" min="8" max="8" width="16.5"/>
    <col customWidth="1" min="12" max="12" width="17.5"/>
  </cols>
  <sheetData>
    <row r="1" ht="22.5" customHeight="1">
      <c r="A1" s="1" t="s">
        <v>0</v>
      </c>
      <c r="B1" s="52" t="s">
        <v>54</v>
      </c>
      <c r="C1" s="15" t="s">
        <v>42</v>
      </c>
      <c r="D1" s="15" t="s">
        <v>43</v>
      </c>
      <c r="E1" s="15" t="s">
        <v>55</v>
      </c>
      <c r="F1" s="15" t="s">
        <v>40</v>
      </c>
      <c r="G1" s="15" t="s">
        <v>41</v>
      </c>
      <c r="H1" s="15" t="s">
        <v>44</v>
      </c>
      <c r="I1" s="15" t="s">
        <v>30</v>
      </c>
      <c r="K1" s="53" t="s">
        <v>45</v>
      </c>
      <c r="L1" s="53" t="s">
        <v>56</v>
      </c>
    </row>
    <row r="2" ht="22.5" customHeight="1">
      <c r="A2" s="16" t="s">
        <v>4</v>
      </c>
      <c r="B2" s="54" t="s">
        <v>57</v>
      </c>
      <c r="C2" s="55">
        <f>120+108+143+152+88+90+129+140+100+244</f>
        <v>1314</v>
      </c>
      <c r="D2" s="56">
        <f t="shared" ref="D2:D13" si="1">sum(F2:G2)</f>
        <v>11</v>
      </c>
      <c r="E2" s="57">
        <f t="shared" ref="E2:E13" si="2">ROUND(C2/D2,1)</f>
        <v>119.5</v>
      </c>
      <c r="F2" s="56">
        <v>6.0</v>
      </c>
      <c r="G2" s="56">
        <v>5.0</v>
      </c>
      <c r="H2" s="19">
        <f t="shared" ref="H2:H13" si="3">C2/D2</f>
        <v>119.4545455</v>
      </c>
      <c r="I2" s="16" t="s">
        <v>4</v>
      </c>
      <c r="K2" s="20">
        <f>sum(Season_1_Final_Rankings[Points Scored])/sum(Season_1_Final_Rankings[Games Played])</f>
        <v>111.1487603</v>
      </c>
      <c r="L2" s="13" t="s">
        <v>58</v>
      </c>
    </row>
    <row r="3" ht="22.5" customHeight="1">
      <c r="A3" s="16" t="s">
        <v>17</v>
      </c>
      <c r="B3" s="54" t="s">
        <v>57</v>
      </c>
      <c r="C3" s="58">
        <f>112+111+104+114+115+139+155+131+107</f>
        <v>1088</v>
      </c>
      <c r="D3" s="56">
        <f t="shared" si="1"/>
        <v>9</v>
      </c>
      <c r="E3" s="57">
        <f t="shared" si="2"/>
        <v>120.9</v>
      </c>
      <c r="F3" s="56">
        <v>6.0</v>
      </c>
      <c r="G3" s="56">
        <v>3.0</v>
      </c>
      <c r="H3" s="19">
        <f t="shared" si="3"/>
        <v>120.8888889</v>
      </c>
      <c r="I3" s="16" t="s">
        <v>4</v>
      </c>
    </row>
    <row r="4" ht="22.5" customHeight="1">
      <c r="A4" s="16" t="s">
        <v>12</v>
      </c>
      <c r="B4" s="54" t="s">
        <v>57</v>
      </c>
      <c r="C4" s="58">
        <f>116+95+89+85+152+78</f>
        <v>615</v>
      </c>
      <c r="D4" s="56">
        <f t="shared" si="1"/>
        <v>6</v>
      </c>
      <c r="E4" s="57">
        <f t="shared" si="2"/>
        <v>102.5</v>
      </c>
      <c r="F4" s="56">
        <v>1.0</v>
      </c>
      <c r="G4" s="56">
        <v>5.0</v>
      </c>
      <c r="H4" s="19">
        <f t="shared" si="3"/>
        <v>102.5</v>
      </c>
      <c r="I4" s="16" t="s">
        <v>4</v>
      </c>
    </row>
    <row r="5" ht="22.5" customHeight="1">
      <c r="A5" s="22" t="s">
        <v>13</v>
      </c>
      <c r="B5" s="59" t="s">
        <v>57</v>
      </c>
      <c r="C5" s="60">
        <f>100+129+99+131+137+137+121+112+119+99+114</f>
        <v>1298</v>
      </c>
      <c r="D5" s="61">
        <f t="shared" si="1"/>
        <v>13</v>
      </c>
      <c r="E5" s="62">
        <f t="shared" si="2"/>
        <v>99.8</v>
      </c>
      <c r="F5" s="61">
        <v>6.0</v>
      </c>
      <c r="G5" s="61">
        <v>7.0</v>
      </c>
      <c r="H5" s="25">
        <f t="shared" si="3"/>
        <v>99.84615385</v>
      </c>
      <c r="I5" s="22" t="s">
        <v>13</v>
      </c>
    </row>
    <row r="6" ht="22.5" customHeight="1">
      <c r="A6" s="22" t="s">
        <v>10</v>
      </c>
      <c r="B6" s="59" t="s">
        <v>57</v>
      </c>
      <c r="C6" s="60">
        <f>110+125+78+126+91+90+104+259+130+124</f>
        <v>1237</v>
      </c>
      <c r="D6" s="61">
        <f t="shared" si="1"/>
        <v>11</v>
      </c>
      <c r="E6" s="62">
        <f t="shared" si="2"/>
        <v>112.5</v>
      </c>
      <c r="F6" s="61">
        <v>6.0</v>
      </c>
      <c r="G6" s="61">
        <v>5.0</v>
      </c>
      <c r="H6" s="25">
        <f t="shared" si="3"/>
        <v>112.4545455</v>
      </c>
      <c r="I6" s="22" t="s">
        <v>13</v>
      </c>
    </row>
    <row r="7" ht="22.5" customHeight="1">
      <c r="A7" s="22" t="s">
        <v>8</v>
      </c>
      <c r="B7" s="59" t="s">
        <v>57</v>
      </c>
      <c r="C7" s="63">
        <f>143+119+112+134+80+128+242</f>
        <v>958</v>
      </c>
      <c r="D7" s="61">
        <f t="shared" si="1"/>
        <v>8</v>
      </c>
      <c r="E7" s="62">
        <f t="shared" si="2"/>
        <v>119.8</v>
      </c>
      <c r="F7" s="61">
        <v>2.0</v>
      </c>
      <c r="G7" s="61">
        <v>6.0</v>
      </c>
      <c r="H7" s="25">
        <f t="shared" si="3"/>
        <v>119.75</v>
      </c>
      <c r="I7" s="22" t="s">
        <v>13</v>
      </c>
    </row>
    <row r="8" ht="22.5" customHeight="1">
      <c r="A8" s="27" t="s">
        <v>6</v>
      </c>
      <c r="B8" s="64" t="s">
        <v>57</v>
      </c>
      <c r="C8" s="65">
        <f>121+120+92+123+119+97+122+90+115+130+144+233+79+109</f>
        <v>1694</v>
      </c>
      <c r="D8" s="66">
        <f t="shared" si="1"/>
        <v>15</v>
      </c>
      <c r="E8" s="67">
        <f t="shared" si="2"/>
        <v>112.9</v>
      </c>
      <c r="F8" s="66">
        <v>8.0</v>
      </c>
      <c r="G8" s="66">
        <v>7.0</v>
      </c>
      <c r="H8" s="30">
        <f t="shared" si="3"/>
        <v>112.9333333</v>
      </c>
      <c r="I8" s="27" t="s">
        <v>6</v>
      </c>
    </row>
    <row r="9" ht="22.5" customHeight="1">
      <c r="A9" s="27" t="s">
        <v>14</v>
      </c>
      <c r="B9" s="64" t="s">
        <v>57</v>
      </c>
      <c r="C9" s="65">
        <f>135+131+93+120+141+156+145+137+102+138+125+123+131</f>
        <v>1677</v>
      </c>
      <c r="D9" s="66">
        <f t="shared" si="1"/>
        <v>13</v>
      </c>
      <c r="E9" s="67">
        <f t="shared" si="2"/>
        <v>129</v>
      </c>
      <c r="F9" s="66">
        <v>5.0</v>
      </c>
      <c r="G9" s="66">
        <v>8.0</v>
      </c>
      <c r="H9" s="30">
        <f t="shared" si="3"/>
        <v>129</v>
      </c>
      <c r="I9" s="27" t="s">
        <v>6</v>
      </c>
    </row>
    <row r="10" ht="22.5" customHeight="1">
      <c r="A10" s="31" t="s">
        <v>15</v>
      </c>
      <c r="B10" s="64" t="s">
        <v>57</v>
      </c>
      <c r="C10" s="65">
        <f>69+101+74+94+94+87+58</f>
        <v>577</v>
      </c>
      <c r="D10" s="66">
        <f t="shared" si="1"/>
        <v>7</v>
      </c>
      <c r="E10" s="67">
        <f t="shared" si="2"/>
        <v>82.4</v>
      </c>
      <c r="F10" s="66">
        <v>2.0</v>
      </c>
      <c r="G10" s="66">
        <v>5.0</v>
      </c>
      <c r="H10" s="30">
        <f t="shared" si="3"/>
        <v>82.42857143</v>
      </c>
      <c r="I10" s="27" t="s">
        <v>6</v>
      </c>
    </row>
    <row r="11" ht="22.5" customHeight="1">
      <c r="A11" s="32" t="s">
        <v>7</v>
      </c>
      <c r="B11" s="68" t="s">
        <v>57</v>
      </c>
      <c r="C11" s="69">
        <f>93+70+104+137+95+112+97+127+129+99+124+272</f>
        <v>1459</v>
      </c>
      <c r="D11" s="70">
        <f t="shared" si="1"/>
        <v>13</v>
      </c>
      <c r="E11" s="71">
        <f t="shared" si="2"/>
        <v>112.2</v>
      </c>
      <c r="F11" s="70">
        <v>8.0</v>
      </c>
      <c r="G11" s="70">
        <v>5.0</v>
      </c>
      <c r="H11" s="35">
        <f t="shared" si="3"/>
        <v>112.2307692</v>
      </c>
      <c r="I11" s="32" t="s">
        <v>7</v>
      </c>
    </row>
    <row r="12" ht="22.5" customHeight="1">
      <c r="A12" s="36" t="s">
        <v>11</v>
      </c>
      <c r="B12" s="68" t="s">
        <v>57</v>
      </c>
      <c r="C12" s="72">
        <f>147+145+95+113+165+119</f>
        <v>784</v>
      </c>
      <c r="D12" s="70">
        <f t="shared" si="1"/>
        <v>6</v>
      </c>
      <c r="E12" s="71">
        <f t="shared" si="2"/>
        <v>130.7</v>
      </c>
      <c r="F12" s="70">
        <v>5.0</v>
      </c>
      <c r="G12" s="70">
        <v>1.0</v>
      </c>
      <c r="H12" s="35">
        <f t="shared" si="3"/>
        <v>130.6666667</v>
      </c>
      <c r="I12" s="32" t="s">
        <v>7</v>
      </c>
    </row>
    <row r="13" ht="22.5" customHeight="1">
      <c r="A13" s="32" t="s">
        <v>9</v>
      </c>
      <c r="B13" s="68" t="s">
        <v>57</v>
      </c>
      <c r="C13" s="69">
        <f>88+65+95+87+115+76+76+71+75</f>
        <v>748</v>
      </c>
      <c r="D13" s="70">
        <f t="shared" si="1"/>
        <v>9</v>
      </c>
      <c r="E13" s="71">
        <f t="shared" si="2"/>
        <v>83.1</v>
      </c>
      <c r="F13" s="70">
        <v>2.0</v>
      </c>
      <c r="G13" s="70">
        <v>7.0</v>
      </c>
      <c r="H13" s="35">
        <f t="shared" si="3"/>
        <v>83.11111111</v>
      </c>
      <c r="I13" s="32" t="s">
        <v>7</v>
      </c>
    </row>
    <row r="14" ht="22.5" customHeight="1">
      <c r="A14" s="73" t="s">
        <v>18</v>
      </c>
      <c r="B14" s="74" t="s">
        <v>57</v>
      </c>
      <c r="C14" s="75"/>
      <c r="D14" s="76"/>
      <c r="E14" s="77"/>
      <c r="F14" s="76"/>
      <c r="G14" s="76"/>
      <c r="H14" s="78"/>
      <c r="I14" s="73"/>
    </row>
    <row r="22">
      <c r="A22" s="51"/>
      <c r="B22" s="51"/>
      <c r="C22" s="51"/>
      <c r="D22" s="51"/>
      <c r="E22" s="51"/>
      <c r="F22" s="51"/>
      <c r="G22" s="51"/>
      <c r="H22" s="51"/>
    </row>
    <row r="23">
      <c r="A23" s="51"/>
      <c r="B23" s="51"/>
      <c r="C23" s="51"/>
      <c r="D23" s="51"/>
      <c r="E23" s="51"/>
      <c r="F23" s="51"/>
      <c r="G23" s="51"/>
      <c r="H23" s="51"/>
    </row>
    <row r="24">
      <c r="A24" s="51"/>
      <c r="B24" s="51"/>
      <c r="C24" s="51"/>
      <c r="D24" s="51"/>
      <c r="E24" s="51"/>
      <c r="F24" s="51"/>
      <c r="G24" s="51"/>
      <c r="H24" s="51"/>
    </row>
    <row r="25">
      <c r="A25" s="51"/>
      <c r="B25" s="51"/>
      <c r="C25" s="51"/>
      <c r="D25" s="51"/>
      <c r="E25" s="51"/>
      <c r="F25" s="51"/>
      <c r="G25" s="51"/>
      <c r="H25" s="51"/>
    </row>
    <row r="26">
      <c r="A26" s="51"/>
      <c r="B26" s="51"/>
      <c r="C26" s="51"/>
      <c r="D26" s="51"/>
      <c r="E26" s="51"/>
      <c r="F26" s="51"/>
      <c r="G26" s="51"/>
      <c r="H26" s="51"/>
    </row>
    <row r="27">
      <c r="A27" s="51"/>
      <c r="B27" s="51"/>
      <c r="C27" s="51"/>
      <c r="D27" s="51"/>
      <c r="E27" s="51"/>
      <c r="F27" s="51"/>
      <c r="G27" s="51"/>
      <c r="H27" s="51"/>
    </row>
    <row r="28">
      <c r="A28" s="51"/>
      <c r="B28" s="51"/>
      <c r="C28" s="51"/>
      <c r="D28" s="51"/>
      <c r="E28" s="51"/>
      <c r="F28" s="51"/>
      <c r="G28" s="51"/>
      <c r="H28" s="51"/>
    </row>
    <row r="29">
      <c r="A29" s="51"/>
      <c r="B29" s="51"/>
      <c r="C29" s="51"/>
      <c r="D29" s="51"/>
      <c r="E29" s="51"/>
      <c r="F29" s="51"/>
      <c r="G29" s="51"/>
      <c r="H29" s="51"/>
    </row>
    <row r="30">
      <c r="A30" s="51"/>
      <c r="B30" s="51"/>
      <c r="C30" s="51"/>
      <c r="D30" s="51"/>
      <c r="E30" s="51"/>
      <c r="F30" s="51"/>
      <c r="G30" s="51"/>
      <c r="H30" s="51"/>
    </row>
    <row r="31">
      <c r="A31" s="51"/>
      <c r="B31" s="51"/>
      <c r="C31" s="51"/>
      <c r="D31" s="51"/>
      <c r="E31" s="51"/>
      <c r="F31" s="51"/>
      <c r="G31" s="51"/>
      <c r="H31" s="51"/>
    </row>
    <row r="32">
      <c r="A32" s="51"/>
      <c r="B32" s="51"/>
      <c r="C32" s="51"/>
      <c r="D32" s="51"/>
      <c r="E32" s="51"/>
      <c r="F32" s="51"/>
      <c r="G32" s="51"/>
      <c r="H32" s="51"/>
    </row>
    <row r="33">
      <c r="A33" s="51"/>
      <c r="B33" s="51"/>
      <c r="C33" s="51"/>
      <c r="D33" s="51"/>
      <c r="E33" s="51"/>
      <c r="F33" s="51"/>
      <c r="G33" s="51"/>
      <c r="H33" s="51"/>
    </row>
    <row r="34">
      <c r="A34" s="51"/>
      <c r="B34" s="51"/>
      <c r="C34" s="51"/>
      <c r="D34" s="51"/>
      <c r="E34" s="51"/>
      <c r="F34" s="51"/>
      <c r="G34" s="51"/>
      <c r="H34" s="51"/>
    </row>
  </sheetData>
  <dataValidations>
    <dataValidation type="list" allowBlank="1" showErrorMessage="1" sqref="L2">
      <formula1>"League Avg,Player Avg"</formula1>
    </dataValidation>
    <dataValidation type="list" allowBlank="1" sqref="B2:B14">
      <formula1>"Available,Unavailable"</formula1>
    </dataValidation>
    <dataValidation type="custom" allowBlank="1" showDropDown="1" sqref="C2:H14">
      <formula1>AND(ISNUMBER(C2),(NOT(OR(NOT(ISERROR(DATEVALUE(C2))), AND(ISNUMBER(C2), LEFT(CELL("format", C2))="D")))))</formula1>
    </dataValidation>
    <dataValidation allowBlank="1" showDropDown="1" sqref="A2:A14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</cols>
  <sheetData>
    <row r="1">
      <c r="A1" s="79" t="s">
        <v>59</v>
      </c>
      <c r="B1" s="80" t="s">
        <v>60</v>
      </c>
    </row>
    <row r="3">
      <c r="A3" s="81" t="str">
        <f>A1</f>
        <v>Week 4</v>
      </c>
      <c r="B3" s="82"/>
      <c r="C3" s="82"/>
      <c r="D3" s="82"/>
      <c r="E3" s="82"/>
      <c r="F3" s="82"/>
      <c r="G3" s="82"/>
      <c r="H3" s="82"/>
      <c r="I3" s="83"/>
    </row>
    <row r="4">
      <c r="A4" s="84"/>
      <c r="B4" s="85"/>
      <c r="C4" s="85"/>
      <c r="D4" s="86" t="s">
        <v>61</v>
      </c>
      <c r="E4" s="87"/>
      <c r="F4" s="87"/>
      <c r="G4" s="87"/>
      <c r="H4" s="86"/>
      <c r="I4" s="86" t="s">
        <v>62</v>
      </c>
    </row>
    <row r="5">
      <c r="A5" s="86" t="s">
        <v>51</v>
      </c>
      <c r="B5" s="86" t="s">
        <v>63</v>
      </c>
      <c r="C5" s="86" t="s">
        <v>64</v>
      </c>
      <c r="D5" s="88" t="s">
        <v>65</v>
      </c>
      <c r="E5" s="86" t="s">
        <v>66</v>
      </c>
      <c r="F5" s="86" t="s">
        <v>63</v>
      </c>
      <c r="G5" s="86" t="s">
        <v>64</v>
      </c>
      <c r="H5" s="88"/>
      <c r="I5" s="89" t="str">
        <f>(SUMIFS(C6:C13, B6:B13, "Available") + SUMIFS(G6:G13, F6:F13, "Available")) / 
 (COUNTIFS(B6:B13, "Available", C6:C13, "&gt;0") + COUNTIFS(F6:F13, "Available", G6:G13, "&gt;0"))</f>
        <v>#DIV/0!</v>
      </c>
    </row>
    <row r="6">
      <c r="A6" s="88" t="s">
        <v>14</v>
      </c>
      <c r="B6" s="88">
        <f>'Generated Teams'!C4</f>
        <v>120</v>
      </c>
      <c r="C6" s="88"/>
      <c r="D6" s="87"/>
      <c r="E6" s="88" t="s">
        <v>17</v>
      </c>
      <c r="F6" s="88" t="str">
        <f>'Generated Teams'!C14</f>
        <v/>
      </c>
      <c r="G6" s="90"/>
      <c r="H6" s="87"/>
      <c r="I6" s="88"/>
    </row>
    <row r="7">
      <c r="A7" s="88" t="s">
        <v>12</v>
      </c>
      <c r="B7" s="88">
        <f>'Generated Teams'!C5</f>
        <v>116</v>
      </c>
      <c r="C7" s="88"/>
      <c r="D7" s="87"/>
      <c r="E7" s="88" t="s">
        <v>6</v>
      </c>
      <c r="F7" s="88" t="str">
        <f>'Generated Teams'!C15</f>
        <v/>
      </c>
      <c r="G7" s="88"/>
      <c r="H7" s="87"/>
      <c r="I7" s="88"/>
    </row>
    <row r="8">
      <c r="A8" s="88" t="s">
        <v>8</v>
      </c>
      <c r="B8" s="88">
        <f>'Generated Teams'!C6</f>
        <v>107.3</v>
      </c>
      <c r="C8" s="88"/>
      <c r="D8" s="87"/>
      <c r="E8" s="88" t="s">
        <v>9</v>
      </c>
      <c r="F8" s="88" t="str">
        <f>'Generated Teams'!C16</f>
        <v/>
      </c>
      <c r="G8" s="88"/>
      <c r="H8" s="87"/>
      <c r="I8" s="87"/>
    </row>
    <row r="9">
      <c r="A9" s="88"/>
      <c r="B9" s="91"/>
      <c r="C9" s="92">
        <f>sum(C6:C8)</f>
        <v>0</v>
      </c>
      <c r="D9" s="87"/>
      <c r="E9" s="88"/>
      <c r="F9" s="93"/>
      <c r="G9" s="92">
        <f>sum(G6:G8)</f>
        <v>0</v>
      </c>
      <c r="H9" s="88"/>
      <c r="I9" s="86"/>
    </row>
    <row r="10">
      <c r="A10" s="86" t="s">
        <v>53</v>
      </c>
      <c r="B10" s="86" t="s">
        <v>63</v>
      </c>
      <c r="C10" s="94"/>
      <c r="D10" s="88" t="s">
        <v>65</v>
      </c>
      <c r="E10" s="86" t="s">
        <v>67</v>
      </c>
      <c r="F10" s="86" t="s">
        <v>63</v>
      </c>
      <c r="G10" s="90"/>
      <c r="H10" s="87"/>
      <c r="I10" s="88"/>
    </row>
    <row r="11">
      <c r="A11" s="88" t="s">
        <v>11</v>
      </c>
      <c r="B11" s="88">
        <f>'Generated Teams'!C9</f>
        <v>125.5</v>
      </c>
      <c r="C11" s="88"/>
      <c r="D11" s="88"/>
      <c r="E11" s="88" t="s">
        <v>7</v>
      </c>
      <c r="F11" s="88" t="str">
        <f>'Generated Teams'!C19</f>
        <v/>
      </c>
      <c r="G11" s="88"/>
      <c r="H11" s="87"/>
      <c r="I11" s="87"/>
    </row>
    <row r="12">
      <c r="A12" s="88" t="s">
        <v>4</v>
      </c>
      <c r="B12" s="88">
        <f>'Generated Teams'!C10</f>
        <v>120.2</v>
      </c>
      <c r="C12" s="90"/>
      <c r="D12" s="87"/>
      <c r="E12" s="88" t="s">
        <v>10</v>
      </c>
      <c r="F12" s="88" t="str">
        <f>'Generated Teams'!C20</f>
        <v/>
      </c>
      <c r="G12" s="90"/>
      <c r="H12" s="95"/>
      <c r="I12" s="86"/>
    </row>
    <row r="13">
      <c r="A13" s="88" t="s">
        <v>13</v>
      </c>
      <c r="B13" s="88">
        <f>'Generated Teams'!C11</f>
        <v>115.1</v>
      </c>
      <c r="C13" s="88"/>
      <c r="D13" s="87"/>
      <c r="E13" s="88" t="s">
        <v>15</v>
      </c>
      <c r="F13" s="88" t="str">
        <f>'Generated Teams'!C21</f>
        <v/>
      </c>
      <c r="G13" s="88"/>
      <c r="H13" s="95"/>
      <c r="I13" s="88"/>
    </row>
    <row r="14">
      <c r="A14" s="87"/>
      <c r="B14" s="91"/>
      <c r="C14" s="92">
        <f>sum(C11:C13)</f>
        <v>0</v>
      </c>
      <c r="D14" s="87"/>
      <c r="E14" s="87"/>
      <c r="F14" s="93"/>
      <c r="G14" s="92">
        <f>sum(G11:G13)</f>
        <v>0</v>
      </c>
      <c r="H14" s="87"/>
      <c r="I14" s="88"/>
    </row>
    <row r="15">
      <c r="A15" s="87"/>
      <c r="B15" s="87"/>
      <c r="C15" s="94"/>
      <c r="D15" s="87"/>
      <c r="E15" s="87"/>
      <c r="F15" s="87"/>
      <c r="G15" s="94"/>
      <c r="H15" s="87"/>
      <c r="I15" s="87"/>
    </row>
    <row r="16">
      <c r="A16" s="87"/>
      <c r="B16" s="87"/>
      <c r="C16" s="94"/>
      <c r="D16" s="87"/>
      <c r="E16" s="87"/>
      <c r="F16" s="87"/>
      <c r="G16" s="94"/>
      <c r="H16" s="87"/>
      <c r="I16" s="87"/>
    </row>
    <row r="17">
      <c r="A17" s="84"/>
      <c r="B17" s="85"/>
      <c r="C17" s="85"/>
      <c r="D17" s="86" t="s">
        <v>68</v>
      </c>
      <c r="E17" s="87"/>
      <c r="F17" s="87"/>
      <c r="G17" s="94"/>
      <c r="H17" s="87"/>
      <c r="I17" s="86" t="s">
        <v>62</v>
      </c>
    </row>
    <row r="18">
      <c r="A18" s="86" t="s">
        <v>67</v>
      </c>
      <c r="B18" s="86" t="s">
        <v>63</v>
      </c>
      <c r="C18" s="89" t="s">
        <v>64</v>
      </c>
      <c r="D18" s="88" t="s">
        <v>65</v>
      </c>
      <c r="E18" s="86" t="s">
        <v>51</v>
      </c>
      <c r="F18" s="86" t="s">
        <v>63</v>
      </c>
      <c r="G18" s="89" t="s">
        <v>64</v>
      </c>
      <c r="H18" s="87"/>
      <c r="I18" s="89" t="str">
        <f>(SUMIFS(C19:C26, B19:B26, "Available") + SUMIFS(G19:G26, F19:F26, "Available")) / 
 (COUNTIFS(B19:B26, "Available", C19:C26, "&gt;0") + COUNTIFS(F19:F26, "Available", G19:G26, "&gt;0"))</f>
        <v>#DIV/0!</v>
      </c>
    </row>
    <row r="19">
      <c r="A19" s="88" t="s">
        <v>7</v>
      </c>
      <c r="B19" s="88" t="str">
        <f>'Generated Teams'!C19</f>
        <v/>
      </c>
      <c r="C19" s="88"/>
      <c r="D19" s="87"/>
      <c r="E19" s="88" t="s">
        <v>14</v>
      </c>
      <c r="F19" s="88">
        <f>'Generated Teams'!C4</f>
        <v>120</v>
      </c>
      <c r="G19" s="88"/>
      <c r="H19" s="95"/>
      <c r="I19" s="95"/>
    </row>
    <row r="20">
      <c r="A20" s="88" t="s">
        <v>10</v>
      </c>
      <c r="B20" s="88" t="str">
        <f>'Generated Teams'!C20</f>
        <v/>
      </c>
      <c r="C20" s="90"/>
      <c r="D20" s="87"/>
      <c r="E20" s="88" t="s">
        <v>12</v>
      </c>
      <c r="F20" s="88">
        <f>'Generated Teams'!C5</f>
        <v>116</v>
      </c>
      <c r="G20" s="88"/>
      <c r="H20" s="95"/>
      <c r="I20" s="95"/>
    </row>
    <row r="21">
      <c r="A21" s="88" t="s">
        <v>15</v>
      </c>
      <c r="B21" s="88" t="str">
        <f>'Generated Teams'!C21</f>
        <v/>
      </c>
      <c r="C21" s="88"/>
      <c r="D21" s="87"/>
      <c r="E21" s="88" t="s">
        <v>8</v>
      </c>
      <c r="F21" s="88">
        <f>'Generated Teams'!C6</f>
        <v>107.3</v>
      </c>
      <c r="G21" s="88"/>
      <c r="H21" s="95"/>
      <c r="I21" s="95"/>
    </row>
    <row r="22">
      <c r="A22" s="88"/>
      <c r="B22" s="91"/>
      <c r="C22" s="92">
        <f>sum(C19:C21)</f>
        <v>0</v>
      </c>
      <c r="D22" s="87"/>
      <c r="E22" s="87"/>
      <c r="F22" s="93"/>
      <c r="G22" s="92">
        <f>sum(G19:G21)</f>
        <v>0</v>
      </c>
      <c r="H22" s="95"/>
      <c r="I22" s="95"/>
    </row>
    <row r="23">
      <c r="A23" s="86" t="s">
        <v>66</v>
      </c>
      <c r="B23" s="86" t="s">
        <v>63</v>
      </c>
      <c r="C23" s="94"/>
      <c r="D23" s="88" t="s">
        <v>65</v>
      </c>
      <c r="E23" s="86" t="s">
        <v>53</v>
      </c>
      <c r="F23" s="86" t="s">
        <v>63</v>
      </c>
      <c r="G23" s="90"/>
      <c r="H23" s="87"/>
      <c r="I23" s="87"/>
    </row>
    <row r="24">
      <c r="A24" s="88" t="s">
        <v>17</v>
      </c>
      <c r="B24" s="88" t="str">
        <f>'Generated Teams'!C14</f>
        <v/>
      </c>
      <c r="C24" s="90"/>
      <c r="D24" s="88"/>
      <c r="E24" s="88" t="s">
        <v>11</v>
      </c>
      <c r="F24" s="88">
        <f>'Generated Teams'!C9</f>
        <v>125.5</v>
      </c>
      <c r="G24" s="88"/>
      <c r="H24" s="87"/>
      <c r="I24" s="87"/>
    </row>
    <row r="25">
      <c r="A25" s="88" t="s">
        <v>6</v>
      </c>
      <c r="B25" s="88" t="str">
        <f>'Generated Teams'!C15</f>
        <v/>
      </c>
      <c r="C25" s="88"/>
      <c r="D25" s="87"/>
      <c r="E25" s="88" t="s">
        <v>4</v>
      </c>
      <c r="F25" s="88">
        <f>'Generated Teams'!C10</f>
        <v>120.2</v>
      </c>
      <c r="G25" s="90"/>
      <c r="H25" s="87"/>
      <c r="I25" s="87"/>
    </row>
    <row r="26">
      <c r="A26" s="88" t="s">
        <v>9</v>
      </c>
      <c r="B26" s="88" t="str">
        <f>'Generated Teams'!C16</f>
        <v/>
      </c>
      <c r="C26" s="88"/>
      <c r="D26" s="87"/>
      <c r="E26" s="88" t="s">
        <v>13</v>
      </c>
      <c r="F26" s="88">
        <f>'Generated Teams'!C11</f>
        <v>115.1</v>
      </c>
      <c r="G26" s="88"/>
      <c r="H26" s="87"/>
      <c r="I26" s="87"/>
    </row>
    <row r="27">
      <c r="A27" s="87"/>
      <c r="B27" s="93"/>
      <c r="C27" s="92">
        <f>sum(C24:C26)</f>
        <v>0</v>
      </c>
      <c r="D27" s="87"/>
      <c r="E27" s="88"/>
      <c r="F27" s="91"/>
      <c r="G27" s="92">
        <f>sum(G24:G26)</f>
        <v>0</v>
      </c>
      <c r="H27" s="87"/>
      <c r="I27" s="87"/>
    </row>
    <row r="35">
      <c r="A35" s="96" t="str">
        <f>'Generated Teams'!A35</f>
        <v/>
      </c>
      <c r="B35" s="96" t="str">
        <f>'Generated Teams'!C35</f>
        <v/>
      </c>
    </row>
    <row r="36">
      <c r="A36" s="96" t="str">
        <f>'Generated Teams'!A36</f>
        <v/>
      </c>
      <c r="B36" s="96" t="str">
        <f>'Generated Teams'!C36</f>
        <v/>
      </c>
    </row>
    <row r="37">
      <c r="A37" s="96" t="str">
        <f>'Generated Teams'!A37</f>
        <v/>
      </c>
      <c r="B37" s="96" t="str">
        <f>'Generated Teams'!C37</f>
        <v/>
      </c>
    </row>
    <row r="40">
      <c r="A40" s="96" t="str">
        <f>'Generated Teams'!A40</f>
        <v/>
      </c>
      <c r="B40" s="96" t="str">
        <f>'Generated Teams'!C40</f>
        <v/>
      </c>
    </row>
    <row r="41">
      <c r="A41" s="96" t="str">
        <f>'Generated Teams'!A41</f>
        <v/>
      </c>
      <c r="B41" s="96" t="str">
        <f>'Generated Teams'!C41</f>
        <v/>
      </c>
    </row>
    <row r="42">
      <c r="A42" s="96" t="str">
        <f>'Generated Teams'!A42</f>
        <v/>
      </c>
      <c r="B42" s="96" t="str">
        <f>'Generated Teams'!C42</f>
        <v/>
      </c>
    </row>
    <row r="50">
      <c r="A50" s="96" t="str">
        <f>'Generated Teams'!A50</f>
        <v/>
      </c>
      <c r="B50" s="96" t="str">
        <f>'Generated Teams'!C50</f>
        <v/>
      </c>
    </row>
    <row r="51">
      <c r="A51" s="96" t="str">
        <f>'Generated Teams'!A51</f>
        <v/>
      </c>
      <c r="B51" s="96" t="str">
        <f>'Generated Teams'!C51</f>
        <v/>
      </c>
    </row>
    <row r="52">
      <c r="A52" s="96" t="str">
        <f>'Generated Teams'!A52</f>
        <v/>
      </c>
      <c r="B52" s="96" t="str">
        <f>'Generated Teams'!C52</f>
        <v/>
      </c>
    </row>
    <row r="55">
      <c r="A55" s="96" t="str">
        <f>'Generated Teams'!A45</f>
        <v/>
      </c>
      <c r="B55" s="96" t="str">
        <f>'Generated Teams'!C45</f>
        <v/>
      </c>
    </row>
    <row r="56">
      <c r="A56" s="96" t="str">
        <f>'Generated Teams'!A46</f>
        <v/>
      </c>
      <c r="B56" s="96" t="str">
        <f>'Generated Teams'!C46</f>
        <v/>
      </c>
    </row>
    <row r="57">
      <c r="A57" s="96" t="str">
        <f>'Generated Teams'!A47</f>
        <v/>
      </c>
      <c r="B57" s="96" t="str">
        <f>'Generated Teams'!C47</f>
        <v/>
      </c>
    </row>
  </sheetData>
  <mergeCells count="2">
    <mergeCell ref="B1:D1"/>
    <mergeCell ref="A3:I3"/>
  </mergeCells>
  <conditionalFormatting sqref="A5:A26">
    <cfRule type="expression" dxfId="5" priority="1">
      <formula>"VLOOKUP(A5, 'Generated Teams'!$A:$C, 3, FALSE)="Unavailable""</formula>
    </cfRule>
  </conditionalFormatting>
  <conditionalFormatting sqref="A6:A26">
    <cfRule type="expression" dxfId="5" priority="2">
      <formula>"VLOOKUP(A6, 'Generated Teams'!$A:$C, 3, FALSE)="Unavailable""</formula>
    </cfRule>
  </conditionalFormatting>
  <conditionalFormatting sqref="A6:A26 E6:E26">
    <cfRule type="expression" dxfId="5" priority="3">
      <formula>"VLOOKUP(A6, 'Generated Teams'!$A:$C, 3, FALSE)="Unavailable""</formula>
    </cfRule>
  </conditionalFormatting>
  <conditionalFormatting sqref="F6:F26 B6:B26">
    <cfRule type="cellIs" dxfId="6" priority="4" operator="equal">
      <formula>"Unavailable"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 t="s">
        <v>28</v>
      </c>
      <c r="B1" s="98" t="s">
        <v>29</v>
      </c>
      <c r="C1" s="99" t="s">
        <v>69</v>
      </c>
      <c r="D1" s="99" t="s">
        <v>30</v>
      </c>
      <c r="E1" s="99" t="s">
        <v>61</v>
      </c>
      <c r="F1" s="100" t="s">
        <v>70</v>
      </c>
      <c r="G1" s="100" t="s">
        <v>68</v>
      </c>
      <c r="H1" s="100" t="s">
        <v>71</v>
      </c>
      <c r="I1" s="100" t="s">
        <v>72</v>
      </c>
      <c r="J1" s="101" t="s">
        <v>73</v>
      </c>
      <c r="K1" s="102" t="s">
        <v>74</v>
      </c>
      <c r="L1" s="103" t="s">
        <v>75</v>
      </c>
      <c r="M1" s="100" t="s">
        <v>76</v>
      </c>
    </row>
    <row r="2">
      <c r="A2" s="104">
        <v>1.0</v>
      </c>
      <c r="B2" s="105">
        <v>1.0</v>
      </c>
      <c r="C2" s="106" t="s">
        <v>4</v>
      </c>
      <c r="D2" s="106" t="s">
        <v>51</v>
      </c>
      <c r="E2" s="107">
        <v>120.0</v>
      </c>
      <c r="F2" s="108" t="s">
        <v>53</v>
      </c>
      <c r="G2" s="108">
        <v>108.0</v>
      </c>
      <c r="H2" s="108" t="s">
        <v>67</v>
      </c>
      <c r="I2" s="108">
        <v>228.0</v>
      </c>
      <c r="J2" s="109">
        <v>1.0</v>
      </c>
      <c r="K2" s="110">
        <v>1.0</v>
      </c>
      <c r="L2" s="111">
        <v>2.0</v>
      </c>
      <c r="M2" s="108" t="b">
        <v>1</v>
      </c>
    </row>
    <row r="3">
      <c r="A3" s="104">
        <v>1.0</v>
      </c>
      <c r="B3" s="112">
        <v>1.0</v>
      </c>
      <c r="C3" s="113" t="s">
        <v>10</v>
      </c>
      <c r="D3" s="113" t="s">
        <v>51</v>
      </c>
      <c r="E3" s="114">
        <v>110.0</v>
      </c>
      <c r="F3" s="115" t="s">
        <v>53</v>
      </c>
      <c r="G3" s="115">
        <v>125.0</v>
      </c>
      <c r="H3" s="115" t="s">
        <v>67</v>
      </c>
      <c r="I3" s="115">
        <v>235.0</v>
      </c>
      <c r="J3" s="116">
        <v>1.0</v>
      </c>
      <c r="K3" s="117">
        <v>1.0</v>
      </c>
      <c r="L3" s="118">
        <v>2.0</v>
      </c>
      <c r="M3" s="115" t="b">
        <v>1</v>
      </c>
    </row>
    <row r="4">
      <c r="A4" s="104">
        <v>1.0</v>
      </c>
      <c r="B4" s="105">
        <v>1.0</v>
      </c>
      <c r="C4" s="106" t="s">
        <v>15</v>
      </c>
      <c r="D4" s="106" t="s">
        <v>51</v>
      </c>
      <c r="E4" s="107">
        <v>69.0</v>
      </c>
      <c r="F4" s="108" t="s">
        <v>53</v>
      </c>
      <c r="G4" s="108">
        <v>101.0</v>
      </c>
      <c r="H4" s="108" t="s">
        <v>67</v>
      </c>
      <c r="I4" s="108">
        <v>170.0</v>
      </c>
      <c r="J4" s="109">
        <v>1.0</v>
      </c>
      <c r="K4" s="117">
        <v>1.0</v>
      </c>
      <c r="L4" s="118">
        <v>2.0</v>
      </c>
      <c r="M4" s="108" t="b">
        <v>1</v>
      </c>
    </row>
    <row r="5">
      <c r="A5" s="104">
        <v>1.0</v>
      </c>
      <c r="B5" s="112">
        <v>1.0</v>
      </c>
      <c r="C5" s="113" t="s">
        <v>6</v>
      </c>
      <c r="D5" s="113" t="s">
        <v>53</v>
      </c>
      <c r="E5" s="114">
        <v>121.0</v>
      </c>
      <c r="F5" s="115" t="s">
        <v>51</v>
      </c>
      <c r="G5" s="115">
        <v>120.0</v>
      </c>
      <c r="H5" s="115" t="s">
        <v>66</v>
      </c>
      <c r="I5" s="115">
        <v>241.0</v>
      </c>
      <c r="J5" s="116">
        <v>2.0</v>
      </c>
      <c r="K5" s="117">
        <v>0.0</v>
      </c>
      <c r="L5" s="118">
        <v>2.0</v>
      </c>
      <c r="M5" s="115" t="b">
        <v>1</v>
      </c>
    </row>
    <row r="6">
      <c r="A6" s="104">
        <v>1.0</v>
      </c>
      <c r="B6" s="105">
        <v>1.0</v>
      </c>
      <c r="C6" s="106" t="s">
        <v>11</v>
      </c>
      <c r="D6" s="106" t="s">
        <v>53</v>
      </c>
      <c r="E6" s="107">
        <v>105.0</v>
      </c>
      <c r="F6" s="108" t="s">
        <v>51</v>
      </c>
      <c r="G6" s="108">
        <v>107.0</v>
      </c>
      <c r="H6" s="108" t="s">
        <v>66</v>
      </c>
      <c r="I6" s="108">
        <v>212.0</v>
      </c>
      <c r="J6" s="109">
        <v>2.0</v>
      </c>
      <c r="K6" s="117">
        <v>0.0</v>
      </c>
      <c r="L6" s="118">
        <v>2.0</v>
      </c>
      <c r="M6" s="108" t="b">
        <v>0</v>
      </c>
    </row>
    <row r="7">
      <c r="A7" s="104">
        <v>1.0</v>
      </c>
      <c r="B7" s="112">
        <v>1.0</v>
      </c>
      <c r="C7" s="113" t="s">
        <v>13</v>
      </c>
      <c r="D7" s="113" t="s">
        <v>53</v>
      </c>
      <c r="E7" s="114">
        <v>100.0</v>
      </c>
      <c r="F7" s="115" t="s">
        <v>51</v>
      </c>
      <c r="G7" s="115">
        <v>129.0</v>
      </c>
      <c r="H7" s="115" t="s">
        <v>66</v>
      </c>
      <c r="I7" s="115">
        <v>229.0</v>
      </c>
      <c r="J7" s="116">
        <v>2.0</v>
      </c>
      <c r="K7" s="117">
        <v>0.0</v>
      </c>
      <c r="L7" s="118">
        <v>2.0</v>
      </c>
      <c r="M7" s="115" t="b">
        <v>1</v>
      </c>
    </row>
    <row r="8">
      <c r="A8" s="104">
        <v>1.0</v>
      </c>
      <c r="B8" s="105">
        <v>1.0</v>
      </c>
      <c r="C8" s="106" t="s">
        <v>8</v>
      </c>
      <c r="D8" s="106" t="s">
        <v>66</v>
      </c>
      <c r="E8" s="107">
        <v>105.0</v>
      </c>
      <c r="F8" s="108" t="s">
        <v>67</v>
      </c>
      <c r="G8" s="108">
        <v>107.0</v>
      </c>
      <c r="H8" s="108" t="s">
        <v>53</v>
      </c>
      <c r="I8" s="108">
        <v>212.0</v>
      </c>
      <c r="J8" s="109">
        <v>0.0</v>
      </c>
      <c r="K8" s="117">
        <v>2.0</v>
      </c>
      <c r="L8" s="118">
        <v>2.0</v>
      </c>
      <c r="M8" s="108" t="b">
        <v>0</v>
      </c>
    </row>
    <row r="9">
      <c r="A9" s="104">
        <v>1.0</v>
      </c>
      <c r="B9" s="112">
        <v>1.0</v>
      </c>
      <c r="C9" s="113" t="s">
        <v>9</v>
      </c>
      <c r="D9" s="113" t="s">
        <v>66</v>
      </c>
      <c r="E9" s="114">
        <v>88.0</v>
      </c>
      <c r="F9" s="115" t="s">
        <v>67</v>
      </c>
      <c r="G9" s="115">
        <v>65.0</v>
      </c>
      <c r="H9" s="115" t="s">
        <v>53</v>
      </c>
      <c r="I9" s="115">
        <v>153.0</v>
      </c>
      <c r="J9" s="116">
        <v>0.0</v>
      </c>
      <c r="K9" s="117">
        <v>2.0</v>
      </c>
      <c r="L9" s="118">
        <v>2.0</v>
      </c>
      <c r="M9" s="115" t="b">
        <v>1</v>
      </c>
    </row>
    <row r="10">
      <c r="A10" s="104">
        <v>1.0</v>
      </c>
      <c r="B10" s="105">
        <v>1.0</v>
      </c>
      <c r="C10" s="106" t="s">
        <v>17</v>
      </c>
      <c r="D10" s="106" t="s">
        <v>66</v>
      </c>
      <c r="E10" s="107">
        <v>112.0</v>
      </c>
      <c r="F10" s="108" t="s">
        <v>67</v>
      </c>
      <c r="G10" s="108">
        <v>111.0</v>
      </c>
      <c r="H10" s="108" t="s">
        <v>53</v>
      </c>
      <c r="I10" s="108">
        <v>223.0</v>
      </c>
      <c r="J10" s="109">
        <v>0.0</v>
      </c>
      <c r="K10" s="117">
        <v>2.0</v>
      </c>
      <c r="L10" s="118">
        <v>2.0</v>
      </c>
      <c r="M10" s="108" t="b">
        <v>1</v>
      </c>
    </row>
    <row r="11">
      <c r="A11" s="104">
        <v>1.0</v>
      </c>
      <c r="B11" s="112">
        <v>1.0</v>
      </c>
      <c r="C11" s="113" t="s">
        <v>14</v>
      </c>
      <c r="D11" s="113" t="s">
        <v>67</v>
      </c>
      <c r="E11" s="114">
        <v>135.0</v>
      </c>
      <c r="F11" s="115" t="s">
        <v>66</v>
      </c>
      <c r="G11" s="115">
        <v>131.0</v>
      </c>
      <c r="H11" s="115" t="s">
        <v>51</v>
      </c>
      <c r="I11" s="115">
        <v>266.0</v>
      </c>
      <c r="J11" s="116">
        <v>1.0</v>
      </c>
      <c r="K11" s="117">
        <v>1.0</v>
      </c>
      <c r="L11" s="118">
        <v>2.0</v>
      </c>
      <c r="M11" s="115" t="b">
        <v>1</v>
      </c>
    </row>
    <row r="12">
      <c r="A12" s="104">
        <v>1.0</v>
      </c>
      <c r="B12" s="105">
        <v>1.0</v>
      </c>
      <c r="C12" s="106" t="s">
        <v>12</v>
      </c>
      <c r="D12" s="106" t="s">
        <v>67</v>
      </c>
      <c r="E12" s="107">
        <v>105.0</v>
      </c>
      <c r="F12" s="108" t="s">
        <v>66</v>
      </c>
      <c r="G12" s="108">
        <v>107.0</v>
      </c>
      <c r="H12" s="108" t="s">
        <v>51</v>
      </c>
      <c r="I12" s="108">
        <v>212.0</v>
      </c>
      <c r="J12" s="109">
        <v>1.0</v>
      </c>
      <c r="K12" s="117">
        <v>1.0</v>
      </c>
      <c r="L12" s="118">
        <v>2.0</v>
      </c>
      <c r="M12" s="108" t="b">
        <v>0</v>
      </c>
    </row>
    <row r="13">
      <c r="A13" s="104">
        <v>1.0</v>
      </c>
      <c r="B13" s="112">
        <v>1.0</v>
      </c>
      <c r="C13" s="113" t="s">
        <v>7</v>
      </c>
      <c r="D13" s="113" t="s">
        <v>67</v>
      </c>
      <c r="E13" s="114">
        <v>93.0</v>
      </c>
      <c r="F13" s="115" t="s">
        <v>66</v>
      </c>
      <c r="G13" s="115">
        <v>70.0</v>
      </c>
      <c r="H13" s="115" t="s">
        <v>51</v>
      </c>
      <c r="I13" s="115">
        <v>163.0</v>
      </c>
      <c r="J13" s="116">
        <v>1.0</v>
      </c>
      <c r="K13" s="117">
        <v>1.0</v>
      </c>
      <c r="L13" s="118">
        <v>2.0</v>
      </c>
      <c r="M13" s="115" t="b">
        <v>1</v>
      </c>
    </row>
    <row r="14">
      <c r="A14" s="104">
        <v>1.0</v>
      </c>
      <c r="B14" s="105">
        <v>2.0</v>
      </c>
      <c r="C14" s="106" t="s">
        <v>6</v>
      </c>
      <c r="D14" s="106" t="s">
        <v>51</v>
      </c>
      <c r="E14" s="107">
        <v>123.0</v>
      </c>
      <c r="F14" s="108" t="s">
        <v>53</v>
      </c>
      <c r="G14" s="108">
        <v>119.0</v>
      </c>
      <c r="H14" s="108" t="s">
        <v>67</v>
      </c>
      <c r="I14" s="108">
        <v>242.0</v>
      </c>
      <c r="J14" s="109">
        <v>1.0</v>
      </c>
      <c r="K14" s="117">
        <v>1.0</v>
      </c>
      <c r="L14" s="118">
        <v>2.0</v>
      </c>
      <c r="M14" s="108" t="b">
        <v>1</v>
      </c>
    </row>
    <row r="15">
      <c r="A15" s="104">
        <v>1.0</v>
      </c>
      <c r="B15" s="112">
        <v>2.0</v>
      </c>
      <c r="C15" s="113" t="s">
        <v>15</v>
      </c>
      <c r="D15" s="113" t="s">
        <v>51</v>
      </c>
      <c r="E15" s="114">
        <v>94.0</v>
      </c>
      <c r="F15" s="115" t="s">
        <v>53</v>
      </c>
      <c r="G15" s="115">
        <v>94.0</v>
      </c>
      <c r="H15" s="115" t="s">
        <v>67</v>
      </c>
      <c r="I15" s="115">
        <v>188.0</v>
      </c>
      <c r="J15" s="116">
        <v>1.0</v>
      </c>
      <c r="K15" s="117">
        <v>1.0</v>
      </c>
      <c r="L15" s="118">
        <v>2.0</v>
      </c>
      <c r="M15" s="115" t="b">
        <v>1</v>
      </c>
    </row>
    <row r="16">
      <c r="A16" s="104">
        <v>1.0</v>
      </c>
      <c r="B16" s="105">
        <v>2.0</v>
      </c>
      <c r="C16" s="106" t="s">
        <v>8</v>
      </c>
      <c r="D16" s="106" t="s">
        <v>51</v>
      </c>
      <c r="E16" s="107">
        <v>103.0</v>
      </c>
      <c r="F16" s="108" t="s">
        <v>53</v>
      </c>
      <c r="G16" s="108">
        <v>103.0</v>
      </c>
      <c r="H16" s="108" t="s">
        <v>67</v>
      </c>
      <c r="I16" s="108">
        <v>206.0</v>
      </c>
      <c r="J16" s="109">
        <v>1.0</v>
      </c>
      <c r="K16" s="117">
        <v>1.0</v>
      </c>
      <c r="L16" s="118">
        <v>2.0</v>
      </c>
      <c r="M16" s="108" t="b">
        <v>0</v>
      </c>
    </row>
    <row r="17">
      <c r="A17" s="104">
        <v>1.0</v>
      </c>
      <c r="B17" s="112">
        <v>2.0</v>
      </c>
      <c r="C17" s="113" t="s">
        <v>13</v>
      </c>
      <c r="D17" s="113" t="s">
        <v>53</v>
      </c>
      <c r="E17" s="114">
        <v>131.0</v>
      </c>
      <c r="F17" s="115" t="s">
        <v>51</v>
      </c>
      <c r="G17" s="115">
        <v>137.0</v>
      </c>
      <c r="H17" s="115" t="s">
        <v>66</v>
      </c>
      <c r="I17" s="115">
        <v>268.0</v>
      </c>
      <c r="J17" s="116">
        <v>2.0</v>
      </c>
      <c r="K17" s="117">
        <v>0.0</v>
      </c>
      <c r="L17" s="118">
        <v>2.0</v>
      </c>
      <c r="M17" s="115" t="b">
        <v>1</v>
      </c>
    </row>
    <row r="18">
      <c r="A18" s="104">
        <v>1.0</v>
      </c>
      <c r="B18" s="105">
        <v>2.0</v>
      </c>
      <c r="C18" s="106" t="s">
        <v>17</v>
      </c>
      <c r="D18" s="106" t="s">
        <v>53</v>
      </c>
      <c r="E18" s="107">
        <v>114.0</v>
      </c>
      <c r="F18" s="108" t="s">
        <v>51</v>
      </c>
      <c r="G18" s="108">
        <v>115.0</v>
      </c>
      <c r="H18" s="108" t="s">
        <v>66</v>
      </c>
      <c r="I18" s="108">
        <v>229.0</v>
      </c>
      <c r="J18" s="109">
        <v>2.0</v>
      </c>
      <c r="K18" s="117">
        <v>0.0</v>
      </c>
      <c r="L18" s="118">
        <v>2.0</v>
      </c>
      <c r="M18" s="108" t="b">
        <v>1</v>
      </c>
    </row>
    <row r="19">
      <c r="A19" s="104">
        <v>1.0</v>
      </c>
      <c r="B19" s="112">
        <v>2.0</v>
      </c>
      <c r="C19" s="113" t="s">
        <v>9</v>
      </c>
      <c r="D19" s="113" t="s">
        <v>53</v>
      </c>
      <c r="E19" s="114">
        <v>103.0</v>
      </c>
      <c r="F19" s="115" t="s">
        <v>51</v>
      </c>
      <c r="G19" s="115">
        <v>103.0</v>
      </c>
      <c r="H19" s="115" t="s">
        <v>66</v>
      </c>
      <c r="I19" s="115">
        <v>206.0</v>
      </c>
      <c r="J19" s="116">
        <v>2.0</v>
      </c>
      <c r="K19" s="117">
        <v>0.0</v>
      </c>
      <c r="L19" s="118">
        <v>2.0</v>
      </c>
      <c r="M19" s="115" t="b">
        <v>0</v>
      </c>
    </row>
    <row r="20">
      <c r="A20" s="104">
        <v>1.0</v>
      </c>
      <c r="B20" s="105">
        <v>2.0</v>
      </c>
      <c r="C20" s="106" t="s">
        <v>12</v>
      </c>
      <c r="D20" s="106" t="s">
        <v>66</v>
      </c>
      <c r="E20" s="107">
        <v>116.0</v>
      </c>
      <c r="F20" s="108" t="s">
        <v>67</v>
      </c>
      <c r="G20" s="108">
        <v>95.0</v>
      </c>
      <c r="H20" s="108" t="s">
        <v>53</v>
      </c>
      <c r="I20" s="108">
        <v>211.0</v>
      </c>
      <c r="J20" s="109">
        <v>0.0</v>
      </c>
      <c r="K20" s="117">
        <v>2.0</v>
      </c>
      <c r="L20" s="118">
        <v>2.0</v>
      </c>
      <c r="M20" s="108" t="b">
        <v>1</v>
      </c>
    </row>
    <row r="21">
      <c r="A21" s="104">
        <v>1.0</v>
      </c>
      <c r="B21" s="112">
        <v>2.0</v>
      </c>
      <c r="C21" s="113" t="s">
        <v>14</v>
      </c>
      <c r="D21" s="113" t="s">
        <v>66</v>
      </c>
      <c r="E21" s="114">
        <v>120.0</v>
      </c>
      <c r="F21" s="115" t="s">
        <v>67</v>
      </c>
      <c r="G21" s="115">
        <v>141.0</v>
      </c>
      <c r="H21" s="115" t="s">
        <v>53</v>
      </c>
      <c r="I21" s="115">
        <v>261.0</v>
      </c>
      <c r="J21" s="116">
        <v>0.0</v>
      </c>
      <c r="K21" s="117">
        <v>2.0</v>
      </c>
      <c r="L21" s="118">
        <v>2.0</v>
      </c>
      <c r="M21" s="115" t="b">
        <v>1</v>
      </c>
    </row>
    <row r="22">
      <c r="A22" s="104">
        <v>1.0</v>
      </c>
      <c r="B22" s="105">
        <v>2.0</v>
      </c>
      <c r="C22" s="106" t="s">
        <v>11</v>
      </c>
      <c r="D22" s="106" t="s">
        <v>66</v>
      </c>
      <c r="E22" s="107">
        <v>103.0</v>
      </c>
      <c r="F22" s="108" t="s">
        <v>67</v>
      </c>
      <c r="G22" s="108">
        <v>103.0</v>
      </c>
      <c r="H22" s="108" t="s">
        <v>53</v>
      </c>
      <c r="I22" s="108">
        <v>206.0</v>
      </c>
      <c r="J22" s="109">
        <v>0.0</v>
      </c>
      <c r="K22" s="117">
        <v>2.0</v>
      </c>
      <c r="L22" s="118">
        <v>2.0</v>
      </c>
      <c r="M22" s="108" t="b">
        <v>0</v>
      </c>
    </row>
    <row r="23">
      <c r="A23" s="104">
        <v>1.0</v>
      </c>
      <c r="B23" s="112">
        <v>2.0</v>
      </c>
      <c r="C23" s="113" t="s">
        <v>4</v>
      </c>
      <c r="D23" s="113" t="s">
        <v>67</v>
      </c>
      <c r="E23" s="114">
        <v>152.0</v>
      </c>
      <c r="F23" s="115" t="s">
        <v>66</v>
      </c>
      <c r="G23" s="115">
        <v>88.0</v>
      </c>
      <c r="H23" s="115" t="s">
        <v>51</v>
      </c>
      <c r="I23" s="115">
        <v>240.0</v>
      </c>
      <c r="J23" s="116">
        <v>1.0</v>
      </c>
      <c r="K23" s="117">
        <v>1.0</v>
      </c>
      <c r="L23" s="118">
        <v>2.0</v>
      </c>
      <c r="M23" s="115" t="b">
        <v>1</v>
      </c>
    </row>
    <row r="24">
      <c r="A24" s="104">
        <v>1.0</v>
      </c>
      <c r="B24" s="105">
        <v>2.0</v>
      </c>
      <c r="C24" s="106" t="s">
        <v>7</v>
      </c>
      <c r="D24" s="106" t="s">
        <v>67</v>
      </c>
      <c r="E24" s="107">
        <v>137.0</v>
      </c>
      <c r="F24" s="108" t="s">
        <v>66</v>
      </c>
      <c r="G24" s="108">
        <v>95.0</v>
      </c>
      <c r="H24" s="108" t="s">
        <v>51</v>
      </c>
      <c r="I24" s="108">
        <v>232.0</v>
      </c>
      <c r="J24" s="109">
        <v>1.0</v>
      </c>
      <c r="K24" s="117">
        <v>1.0</v>
      </c>
      <c r="L24" s="118">
        <v>2.0</v>
      </c>
      <c r="M24" s="108" t="b">
        <v>1</v>
      </c>
    </row>
    <row r="25">
      <c r="A25" s="104">
        <v>1.0</v>
      </c>
      <c r="B25" s="112">
        <v>2.0</v>
      </c>
      <c r="C25" s="113" t="s">
        <v>10</v>
      </c>
      <c r="D25" s="113" t="s">
        <v>67</v>
      </c>
      <c r="E25" s="114">
        <v>103.0</v>
      </c>
      <c r="F25" s="115" t="s">
        <v>66</v>
      </c>
      <c r="G25" s="115">
        <v>103.0</v>
      </c>
      <c r="H25" s="115" t="s">
        <v>51</v>
      </c>
      <c r="I25" s="115">
        <v>206.0</v>
      </c>
      <c r="J25" s="116">
        <v>1.0</v>
      </c>
      <c r="K25" s="117">
        <v>1.0</v>
      </c>
      <c r="L25" s="118">
        <v>2.0</v>
      </c>
      <c r="M25" s="115" t="b">
        <v>0</v>
      </c>
    </row>
    <row r="26">
      <c r="A26" s="104">
        <v>1.0</v>
      </c>
      <c r="B26" s="105">
        <v>3.0</v>
      </c>
      <c r="C26" s="106" t="s">
        <v>9</v>
      </c>
      <c r="D26" s="106" t="s">
        <v>51</v>
      </c>
      <c r="E26" s="107">
        <v>87.0</v>
      </c>
      <c r="F26" s="108" t="s">
        <v>53</v>
      </c>
      <c r="G26" s="108">
        <v>115.0</v>
      </c>
      <c r="H26" s="108" t="s">
        <v>67</v>
      </c>
      <c r="I26" s="108">
        <v>202.0</v>
      </c>
      <c r="J26" s="109">
        <v>1.0</v>
      </c>
      <c r="K26" s="117">
        <v>1.0</v>
      </c>
      <c r="L26" s="118">
        <v>2.0</v>
      </c>
      <c r="M26" s="108" t="b">
        <v>1</v>
      </c>
    </row>
    <row r="27">
      <c r="A27" s="104">
        <v>1.0</v>
      </c>
      <c r="B27" s="112">
        <v>3.0</v>
      </c>
      <c r="C27" s="113" t="s">
        <v>14</v>
      </c>
      <c r="D27" s="113" t="s">
        <v>51</v>
      </c>
      <c r="E27" s="114">
        <v>156.0</v>
      </c>
      <c r="F27" s="115" t="s">
        <v>53</v>
      </c>
      <c r="G27" s="115">
        <v>145.0</v>
      </c>
      <c r="H27" s="115" t="s">
        <v>67</v>
      </c>
      <c r="I27" s="115">
        <v>301.0</v>
      </c>
      <c r="J27" s="116">
        <v>1.0</v>
      </c>
      <c r="K27" s="117">
        <v>1.0</v>
      </c>
      <c r="L27" s="118">
        <v>2.0</v>
      </c>
      <c r="M27" s="115" t="b">
        <v>1</v>
      </c>
    </row>
    <row r="28">
      <c r="A28" s="104">
        <v>1.0</v>
      </c>
      <c r="B28" s="105">
        <v>3.0</v>
      </c>
      <c r="C28" s="106" t="s">
        <v>4</v>
      </c>
      <c r="D28" s="106" t="s">
        <v>51</v>
      </c>
      <c r="E28" s="107">
        <v>111.0</v>
      </c>
      <c r="F28" s="108" t="s">
        <v>53</v>
      </c>
      <c r="G28" s="108">
        <v>113.0</v>
      </c>
      <c r="H28" s="108" t="s">
        <v>67</v>
      </c>
      <c r="I28" s="108">
        <v>224.0</v>
      </c>
      <c r="J28" s="109">
        <v>1.0</v>
      </c>
      <c r="K28" s="117">
        <v>1.0</v>
      </c>
      <c r="L28" s="118">
        <v>2.0</v>
      </c>
      <c r="M28" s="108" t="b">
        <v>0</v>
      </c>
    </row>
    <row r="29">
      <c r="A29" s="104">
        <v>1.0</v>
      </c>
      <c r="B29" s="112">
        <v>3.0</v>
      </c>
      <c r="C29" s="113" t="s">
        <v>11</v>
      </c>
      <c r="D29" s="113" t="s">
        <v>53</v>
      </c>
      <c r="E29" s="114">
        <v>147.0</v>
      </c>
      <c r="F29" s="115" t="s">
        <v>51</v>
      </c>
      <c r="G29" s="115">
        <v>145.0</v>
      </c>
      <c r="H29" s="115" t="s">
        <v>66</v>
      </c>
      <c r="I29" s="115">
        <v>292.0</v>
      </c>
      <c r="J29" s="116">
        <v>2.0</v>
      </c>
      <c r="K29" s="117">
        <v>0.0</v>
      </c>
      <c r="L29" s="118">
        <v>2.0</v>
      </c>
      <c r="M29" s="115" t="b">
        <v>1</v>
      </c>
    </row>
    <row r="30">
      <c r="A30" s="104">
        <v>1.0</v>
      </c>
      <c r="B30" s="105">
        <v>3.0</v>
      </c>
      <c r="C30" s="106" t="s">
        <v>7</v>
      </c>
      <c r="D30" s="106" t="s">
        <v>53</v>
      </c>
      <c r="E30" s="107">
        <v>112.0</v>
      </c>
      <c r="F30" s="108" t="s">
        <v>51</v>
      </c>
      <c r="G30" s="108">
        <v>97.0</v>
      </c>
      <c r="H30" s="108" t="s">
        <v>66</v>
      </c>
      <c r="I30" s="108">
        <v>209.0</v>
      </c>
      <c r="J30" s="109">
        <v>2.0</v>
      </c>
      <c r="K30" s="117">
        <v>0.0</v>
      </c>
      <c r="L30" s="118">
        <v>2.0</v>
      </c>
      <c r="M30" s="108" t="b">
        <v>1</v>
      </c>
    </row>
    <row r="31">
      <c r="A31" s="104">
        <v>1.0</v>
      </c>
      <c r="B31" s="112">
        <v>3.0</v>
      </c>
      <c r="C31" s="113" t="s">
        <v>15</v>
      </c>
      <c r="D31" s="113" t="s">
        <v>53</v>
      </c>
      <c r="E31" s="114">
        <v>111.0</v>
      </c>
      <c r="F31" s="115" t="s">
        <v>51</v>
      </c>
      <c r="G31" s="115">
        <v>113.0</v>
      </c>
      <c r="H31" s="115" t="s">
        <v>66</v>
      </c>
      <c r="I31" s="115">
        <v>224.0</v>
      </c>
      <c r="J31" s="116">
        <v>2.0</v>
      </c>
      <c r="K31" s="117">
        <v>0.0</v>
      </c>
      <c r="L31" s="118">
        <v>2.0</v>
      </c>
      <c r="M31" s="115" t="b">
        <v>0</v>
      </c>
    </row>
    <row r="32">
      <c r="A32" s="104">
        <v>1.0</v>
      </c>
      <c r="B32" s="105">
        <v>3.0</v>
      </c>
      <c r="C32" s="106" t="s">
        <v>8</v>
      </c>
      <c r="D32" s="106" t="s">
        <v>66</v>
      </c>
      <c r="E32" s="107">
        <v>143.0</v>
      </c>
      <c r="F32" s="108" t="s">
        <v>67</v>
      </c>
      <c r="G32" s="108">
        <v>119.0</v>
      </c>
      <c r="H32" s="108" t="s">
        <v>53</v>
      </c>
      <c r="I32" s="108">
        <v>262.0</v>
      </c>
      <c r="J32" s="109">
        <v>1.0</v>
      </c>
      <c r="K32" s="117">
        <v>1.0</v>
      </c>
      <c r="L32" s="118">
        <v>2.0</v>
      </c>
      <c r="M32" s="108" t="b">
        <v>1</v>
      </c>
    </row>
    <row r="33">
      <c r="A33" s="104">
        <v>1.0</v>
      </c>
      <c r="B33" s="112">
        <v>3.0</v>
      </c>
      <c r="C33" s="113" t="s">
        <v>6</v>
      </c>
      <c r="D33" s="113" t="s">
        <v>66</v>
      </c>
      <c r="E33" s="114">
        <v>97.0</v>
      </c>
      <c r="F33" s="115" t="s">
        <v>67</v>
      </c>
      <c r="G33" s="115">
        <v>122.0</v>
      </c>
      <c r="H33" s="115" t="s">
        <v>53</v>
      </c>
      <c r="I33" s="115">
        <v>219.0</v>
      </c>
      <c r="J33" s="116">
        <v>1.0</v>
      </c>
      <c r="K33" s="117">
        <v>1.0</v>
      </c>
      <c r="L33" s="118">
        <v>2.0</v>
      </c>
      <c r="M33" s="115" t="b">
        <v>1</v>
      </c>
    </row>
    <row r="34">
      <c r="A34" s="104">
        <v>1.0</v>
      </c>
      <c r="B34" s="105">
        <v>3.0</v>
      </c>
      <c r="C34" s="106" t="s">
        <v>10</v>
      </c>
      <c r="D34" s="106" t="s">
        <v>66</v>
      </c>
      <c r="E34" s="107">
        <v>111.0</v>
      </c>
      <c r="F34" s="108" t="s">
        <v>67</v>
      </c>
      <c r="G34" s="108">
        <v>113.0</v>
      </c>
      <c r="H34" s="108" t="s">
        <v>53</v>
      </c>
      <c r="I34" s="108">
        <v>224.0</v>
      </c>
      <c r="J34" s="109">
        <v>1.0</v>
      </c>
      <c r="K34" s="117">
        <v>1.0</v>
      </c>
      <c r="L34" s="118">
        <v>2.0</v>
      </c>
      <c r="M34" s="108" t="b">
        <v>0</v>
      </c>
    </row>
    <row r="35">
      <c r="A35" s="104">
        <v>1.0</v>
      </c>
      <c r="B35" s="112">
        <v>3.0</v>
      </c>
      <c r="C35" s="113" t="s">
        <v>12</v>
      </c>
      <c r="D35" s="113" t="s">
        <v>67</v>
      </c>
      <c r="E35" s="114">
        <v>89.0</v>
      </c>
      <c r="F35" s="115" t="s">
        <v>66</v>
      </c>
      <c r="G35" s="115">
        <v>85.0</v>
      </c>
      <c r="H35" s="115" t="s">
        <v>51</v>
      </c>
      <c r="I35" s="115">
        <v>174.0</v>
      </c>
      <c r="J35" s="116">
        <v>0.0</v>
      </c>
      <c r="K35" s="117">
        <v>2.0</v>
      </c>
      <c r="L35" s="118">
        <v>2.0</v>
      </c>
      <c r="M35" s="115" t="b">
        <v>1</v>
      </c>
    </row>
    <row r="36">
      <c r="A36" s="104">
        <v>1.0</v>
      </c>
      <c r="B36" s="105">
        <v>3.0</v>
      </c>
      <c r="C36" s="106" t="s">
        <v>13</v>
      </c>
      <c r="D36" s="106" t="s">
        <v>67</v>
      </c>
      <c r="E36" s="107">
        <v>137.0</v>
      </c>
      <c r="F36" s="108" t="s">
        <v>66</v>
      </c>
      <c r="G36" s="108">
        <v>121.0</v>
      </c>
      <c r="H36" s="108" t="s">
        <v>51</v>
      </c>
      <c r="I36" s="108">
        <v>258.0</v>
      </c>
      <c r="J36" s="109">
        <v>0.0</v>
      </c>
      <c r="K36" s="117">
        <v>2.0</v>
      </c>
      <c r="L36" s="118">
        <v>2.0</v>
      </c>
      <c r="M36" s="108" t="b">
        <v>1</v>
      </c>
    </row>
    <row r="37">
      <c r="A37" s="104">
        <v>1.0</v>
      </c>
      <c r="B37" s="112">
        <v>3.0</v>
      </c>
      <c r="C37" s="113" t="s">
        <v>17</v>
      </c>
      <c r="D37" s="113" t="s">
        <v>67</v>
      </c>
      <c r="E37" s="114">
        <v>111.0</v>
      </c>
      <c r="F37" s="115" t="s">
        <v>66</v>
      </c>
      <c r="G37" s="115">
        <v>113.0</v>
      </c>
      <c r="H37" s="115" t="s">
        <v>51</v>
      </c>
      <c r="I37" s="115">
        <v>224.0</v>
      </c>
      <c r="J37" s="116">
        <v>0.0</v>
      </c>
      <c r="K37" s="117">
        <v>2.0</v>
      </c>
      <c r="L37" s="118">
        <v>2.0</v>
      </c>
      <c r="M37" s="115" t="b">
        <v>0</v>
      </c>
    </row>
    <row r="38">
      <c r="A38" s="104">
        <v>1.0</v>
      </c>
      <c r="B38" s="105">
        <v>4.0</v>
      </c>
      <c r="C38" s="106" t="s">
        <v>7</v>
      </c>
      <c r="D38" s="106" t="s">
        <v>51</v>
      </c>
      <c r="E38" s="107">
        <v>127.0</v>
      </c>
      <c r="F38" s="108" t="s">
        <v>53</v>
      </c>
      <c r="G38" s="108">
        <v>129.0</v>
      </c>
      <c r="H38" s="108" t="s">
        <v>67</v>
      </c>
      <c r="I38" s="108">
        <v>256.0</v>
      </c>
      <c r="J38" s="109">
        <v>2.0</v>
      </c>
      <c r="K38" s="117">
        <v>0.0</v>
      </c>
      <c r="L38" s="118">
        <v>2.0</v>
      </c>
      <c r="M38" s="108" t="b">
        <v>1</v>
      </c>
    </row>
    <row r="39">
      <c r="A39" s="104">
        <v>1.0</v>
      </c>
      <c r="B39" s="112">
        <v>4.0</v>
      </c>
      <c r="C39" s="113" t="s">
        <v>17</v>
      </c>
      <c r="D39" s="113" t="s">
        <v>51</v>
      </c>
      <c r="E39" s="114">
        <v>139.0</v>
      </c>
      <c r="F39" s="115" t="s">
        <v>53</v>
      </c>
      <c r="G39" s="115">
        <v>155.0</v>
      </c>
      <c r="H39" s="115" t="s">
        <v>67</v>
      </c>
      <c r="I39" s="115">
        <v>294.0</v>
      </c>
      <c r="J39" s="116">
        <v>2.0</v>
      </c>
      <c r="K39" s="117">
        <v>0.0</v>
      </c>
      <c r="L39" s="118">
        <v>2.0</v>
      </c>
      <c r="M39" s="115" t="b">
        <v>1</v>
      </c>
    </row>
    <row r="40">
      <c r="A40" s="104">
        <v>1.0</v>
      </c>
      <c r="B40" s="105">
        <v>4.0</v>
      </c>
      <c r="C40" s="106" t="s">
        <v>11</v>
      </c>
      <c r="D40" s="106" t="s">
        <v>51</v>
      </c>
      <c r="E40" s="107">
        <v>111.0</v>
      </c>
      <c r="F40" s="108" t="s">
        <v>53</v>
      </c>
      <c r="G40" s="108">
        <v>111.0</v>
      </c>
      <c r="H40" s="108" t="s">
        <v>67</v>
      </c>
      <c r="I40" s="108">
        <v>222.0</v>
      </c>
      <c r="J40" s="109">
        <v>2.0</v>
      </c>
      <c r="K40" s="117">
        <v>0.0</v>
      </c>
      <c r="L40" s="118">
        <v>2.0</v>
      </c>
      <c r="M40" s="108" t="b">
        <v>0</v>
      </c>
    </row>
    <row r="41">
      <c r="A41" s="104">
        <v>1.0</v>
      </c>
      <c r="B41" s="112">
        <v>4.0</v>
      </c>
      <c r="C41" s="113" t="s">
        <v>15</v>
      </c>
      <c r="D41" s="113" t="s">
        <v>53</v>
      </c>
      <c r="E41" s="114">
        <v>87.0</v>
      </c>
      <c r="F41" s="115" t="s">
        <v>51</v>
      </c>
      <c r="G41" s="115">
        <v>58.0</v>
      </c>
      <c r="H41" s="115" t="s">
        <v>66</v>
      </c>
      <c r="I41" s="115">
        <v>145.0</v>
      </c>
      <c r="J41" s="116">
        <v>0.0</v>
      </c>
      <c r="K41" s="117">
        <v>2.0</v>
      </c>
      <c r="L41" s="118">
        <v>2.0</v>
      </c>
      <c r="M41" s="115" t="b">
        <v>1</v>
      </c>
    </row>
    <row r="42">
      <c r="A42" s="104">
        <v>1.0</v>
      </c>
      <c r="B42" s="105">
        <v>4.0</v>
      </c>
      <c r="C42" s="106" t="s">
        <v>13</v>
      </c>
      <c r="D42" s="106" t="s">
        <v>53</v>
      </c>
      <c r="E42" s="107">
        <v>112.0</v>
      </c>
      <c r="F42" s="108" t="s">
        <v>51</v>
      </c>
      <c r="G42" s="108">
        <v>119.0</v>
      </c>
      <c r="H42" s="108" t="s">
        <v>66</v>
      </c>
      <c r="I42" s="108">
        <v>231.0</v>
      </c>
      <c r="J42" s="109">
        <v>0.0</v>
      </c>
      <c r="K42" s="117">
        <v>2.0</v>
      </c>
      <c r="L42" s="118">
        <v>2.0</v>
      </c>
      <c r="M42" s="108" t="b">
        <v>1</v>
      </c>
    </row>
    <row r="43">
      <c r="A43" s="104">
        <v>1.0</v>
      </c>
      <c r="B43" s="112">
        <v>4.0</v>
      </c>
      <c r="C43" s="113" t="s">
        <v>8</v>
      </c>
      <c r="D43" s="113" t="s">
        <v>53</v>
      </c>
      <c r="E43" s="114">
        <v>112.0</v>
      </c>
      <c r="F43" s="115" t="s">
        <v>51</v>
      </c>
      <c r="G43" s="115">
        <v>134.0</v>
      </c>
      <c r="H43" s="115" t="s">
        <v>66</v>
      </c>
      <c r="I43" s="115">
        <v>246.0</v>
      </c>
      <c r="J43" s="116">
        <v>0.0</v>
      </c>
      <c r="K43" s="117">
        <v>2.0</v>
      </c>
      <c r="L43" s="118">
        <v>2.0</v>
      </c>
      <c r="M43" s="115" t="b">
        <v>1</v>
      </c>
    </row>
    <row r="44">
      <c r="A44" s="104">
        <v>1.0</v>
      </c>
      <c r="B44" s="105">
        <v>4.0</v>
      </c>
      <c r="C44" s="106" t="s">
        <v>14</v>
      </c>
      <c r="D44" s="106" t="s">
        <v>66</v>
      </c>
      <c r="E44" s="107">
        <v>137.0</v>
      </c>
      <c r="F44" s="108" t="s">
        <v>67</v>
      </c>
      <c r="G44" s="108">
        <v>102.0</v>
      </c>
      <c r="H44" s="108" t="s">
        <v>53</v>
      </c>
      <c r="I44" s="108">
        <v>239.0</v>
      </c>
      <c r="J44" s="109">
        <v>1.0</v>
      </c>
      <c r="K44" s="117">
        <v>1.0</v>
      </c>
      <c r="L44" s="118">
        <v>2.0</v>
      </c>
      <c r="M44" s="108" t="b">
        <v>1</v>
      </c>
    </row>
    <row r="45">
      <c r="A45" s="104">
        <v>1.0</v>
      </c>
      <c r="B45" s="112">
        <v>4.0</v>
      </c>
      <c r="C45" s="113" t="s">
        <v>4</v>
      </c>
      <c r="D45" s="113" t="s">
        <v>66</v>
      </c>
      <c r="E45" s="114">
        <v>90.0</v>
      </c>
      <c r="F45" s="115" t="s">
        <v>67</v>
      </c>
      <c r="G45" s="115">
        <v>129.0</v>
      </c>
      <c r="H45" s="115" t="s">
        <v>53</v>
      </c>
      <c r="I45" s="115">
        <v>219.0</v>
      </c>
      <c r="J45" s="116">
        <v>1.0</v>
      </c>
      <c r="K45" s="117">
        <v>1.0</v>
      </c>
      <c r="L45" s="118">
        <v>2.0</v>
      </c>
      <c r="M45" s="115" t="b">
        <v>1</v>
      </c>
    </row>
    <row r="46">
      <c r="A46" s="104">
        <v>1.0</v>
      </c>
      <c r="B46" s="105">
        <v>4.0</v>
      </c>
      <c r="C46" s="106" t="s">
        <v>9</v>
      </c>
      <c r="D46" s="106" t="s">
        <v>66</v>
      </c>
      <c r="E46" s="107">
        <v>111.0</v>
      </c>
      <c r="F46" s="108" t="s">
        <v>67</v>
      </c>
      <c r="G46" s="108">
        <v>111.0</v>
      </c>
      <c r="H46" s="108" t="s">
        <v>53</v>
      </c>
      <c r="I46" s="108">
        <v>222.0</v>
      </c>
      <c r="J46" s="109">
        <v>1.0</v>
      </c>
      <c r="K46" s="117">
        <v>1.0</v>
      </c>
      <c r="L46" s="118">
        <v>2.0</v>
      </c>
      <c r="M46" s="108" t="b">
        <v>0</v>
      </c>
    </row>
    <row r="47">
      <c r="A47" s="104">
        <v>1.0</v>
      </c>
      <c r="B47" s="112">
        <v>4.0</v>
      </c>
      <c r="C47" s="113" t="s">
        <v>10</v>
      </c>
      <c r="D47" s="113" t="s">
        <v>67</v>
      </c>
      <c r="E47" s="114">
        <v>126.0</v>
      </c>
      <c r="F47" s="115" t="s">
        <v>66</v>
      </c>
      <c r="G47" s="115">
        <v>91.0</v>
      </c>
      <c r="H47" s="115" t="s">
        <v>51</v>
      </c>
      <c r="I47" s="115">
        <v>217.0</v>
      </c>
      <c r="J47" s="116">
        <v>1.0</v>
      </c>
      <c r="K47" s="117">
        <v>1.0</v>
      </c>
      <c r="L47" s="118">
        <v>2.0</v>
      </c>
      <c r="M47" s="115" t="b">
        <v>1</v>
      </c>
    </row>
    <row r="48">
      <c r="A48" s="104">
        <v>1.0</v>
      </c>
      <c r="B48" s="105">
        <v>4.0</v>
      </c>
      <c r="C48" s="106" t="s">
        <v>12</v>
      </c>
      <c r="D48" s="106" t="s">
        <v>67</v>
      </c>
      <c r="E48" s="107">
        <v>152.0</v>
      </c>
      <c r="F48" s="108" t="s">
        <v>66</v>
      </c>
      <c r="G48" s="108">
        <v>78.0</v>
      </c>
      <c r="H48" s="108" t="s">
        <v>51</v>
      </c>
      <c r="I48" s="108">
        <v>230.0</v>
      </c>
      <c r="J48" s="109">
        <v>1.0</v>
      </c>
      <c r="K48" s="117">
        <v>1.0</v>
      </c>
      <c r="L48" s="118">
        <v>2.0</v>
      </c>
      <c r="M48" s="108" t="b">
        <v>1</v>
      </c>
    </row>
    <row r="49">
      <c r="A49" s="104">
        <v>1.0</v>
      </c>
      <c r="B49" s="112">
        <v>4.0</v>
      </c>
      <c r="C49" s="113" t="s">
        <v>6</v>
      </c>
      <c r="D49" s="113" t="s">
        <v>67</v>
      </c>
      <c r="E49" s="114">
        <v>90.0</v>
      </c>
      <c r="F49" s="115" t="s">
        <v>66</v>
      </c>
      <c r="G49" s="115">
        <v>115.0</v>
      </c>
      <c r="H49" s="115" t="s">
        <v>51</v>
      </c>
      <c r="I49" s="115">
        <v>205.0</v>
      </c>
      <c r="J49" s="116">
        <v>1.0</v>
      </c>
      <c r="K49" s="117">
        <v>1.0</v>
      </c>
      <c r="L49" s="118">
        <v>2.0</v>
      </c>
      <c r="M49" s="115" t="b">
        <v>1</v>
      </c>
    </row>
    <row r="50">
      <c r="A50" s="104">
        <v>1.0</v>
      </c>
      <c r="B50" s="105">
        <v>5.0</v>
      </c>
      <c r="C50" s="106" t="s">
        <v>11</v>
      </c>
      <c r="D50" s="106" t="s">
        <v>51</v>
      </c>
      <c r="E50" s="107">
        <v>95.0</v>
      </c>
      <c r="F50" s="108" t="s">
        <v>53</v>
      </c>
      <c r="G50" s="108">
        <v>113.0</v>
      </c>
      <c r="H50" s="108" t="s">
        <v>67</v>
      </c>
      <c r="I50" s="108">
        <v>208.0</v>
      </c>
      <c r="J50" s="109">
        <v>1.0</v>
      </c>
      <c r="K50" s="117">
        <v>1.0</v>
      </c>
      <c r="L50" s="118">
        <v>2.0</v>
      </c>
      <c r="M50" s="108" t="b">
        <v>1</v>
      </c>
    </row>
    <row r="51">
      <c r="A51" s="104">
        <v>1.0</v>
      </c>
      <c r="B51" s="112">
        <v>5.0</v>
      </c>
      <c r="C51" s="113" t="s">
        <v>17</v>
      </c>
      <c r="D51" s="113" t="s">
        <v>51</v>
      </c>
      <c r="E51" s="114">
        <v>131.0</v>
      </c>
      <c r="F51" s="115" t="s">
        <v>53</v>
      </c>
      <c r="G51" s="115">
        <v>107.0</v>
      </c>
      <c r="H51" s="115" t="s">
        <v>67</v>
      </c>
      <c r="I51" s="115">
        <v>238.0</v>
      </c>
      <c r="J51" s="116">
        <v>1.0</v>
      </c>
      <c r="K51" s="117">
        <v>1.0</v>
      </c>
      <c r="L51" s="118">
        <v>2.0</v>
      </c>
      <c r="M51" s="115" t="b">
        <v>1</v>
      </c>
    </row>
    <row r="52">
      <c r="A52" s="104">
        <v>1.0</v>
      </c>
      <c r="B52" s="105">
        <v>5.0</v>
      </c>
      <c r="C52" s="106" t="s">
        <v>12</v>
      </c>
      <c r="D52" s="106" t="s">
        <v>51</v>
      </c>
      <c r="E52" s="107">
        <v>112.0</v>
      </c>
      <c r="F52" s="108" t="s">
        <v>53</v>
      </c>
      <c r="G52" s="108">
        <v>112.0</v>
      </c>
      <c r="H52" s="108" t="s">
        <v>67</v>
      </c>
      <c r="I52" s="108">
        <v>224.0</v>
      </c>
      <c r="J52" s="109">
        <v>1.0</v>
      </c>
      <c r="K52" s="117">
        <v>1.0</v>
      </c>
      <c r="L52" s="118">
        <v>2.0</v>
      </c>
      <c r="M52" s="108" t="b">
        <v>0</v>
      </c>
    </row>
    <row r="53">
      <c r="A53" s="104">
        <v>1.0</v>
      </c>
      <c r="B53" s="112">
        <v>5.0</v>
      </c>
      <c r="C53" s="113" t="s">
        <v>4</v>
      </c>
      <c r="D53" s="113" t="s">
        <v>53</v>
      </c>
      <c r="E53" s="114">
        <v>140.0</v>
      </c>
      <c r="F53" s="115" t="s">
        <v>51</v>
      </c>
      <c r="G53" s="115">
        <v>100.0</v>
      </c>
      <c r="H53" s="115" t="s">
        <v>66</v>
      </c>
      <c r="I53" s="115">
        <v>240.0</v>
      </c>
      <c r="J53" s="116">
        <v>2.0</v>
      </c>
      <c r="K53" s="117">
        <v>0.0</v>
      </c>
      <c r="L53" s="118">
        <v>2.0</v>
      </c>
      <c r="M53" s="115" t="b">
        <v>1</v>
      </c>
    </row>
    <row r="54">
      <c r="A54" s="104">
        <v>1.0</v>
      </c>
      <c r="B54" s="105">
        <v>5.0</v>
      </c>
      <c r="C54" s="106" t="s">
        <v>6</v>
      </c>
      <c r="D54" s="106" t="s">
        <v>53</v>
      </c>
      <c r="E54" s="107">
        <v>130.0</v>
      </c>
      <c r="F54" s="108" t="s">
        <v>51</v>
      </c>
      <c r="G54" s="108">
        <v>144.0</v>
      </c>
      <c r="H54" s="108" t="s">
        <v>66</v>
      </c>
      <c r="I54" s="108">
        <v>274.0</v>
      </c>
      <c r="J54" s="109">
        <v>2.0</v>
      </c>
      <c r="K54" s="117">
        <v>0.0</v>
      </c>
      <c r="L54" s="118">
        <v>2.0</v>
      </c>
      <c r="M54" s="108" t="b">
        <v>1</v>
      </c>
    </row>
    <row r="55">
      <c r="A55" s="104">
        <v>1.0</v>
      </c>
      <c r="B55" s="112">
        <v>5.0</v>
      </c>
      <c r="C55" s="113" t="s">
        <v>15</v>
      </c>
      <c r="D55" s="113" t="s">
        <v>53</v>
      </c>
      <c r="E55" s="114">
        <v>112.0</v>
      </c>
      <c r="F55" s="115" t="s">
        <v>51</v>
      </c>
      <c r="G55" s="115">
        <v>112.0</v>
      </c>
      <c r="H55" s="115" t="s">
        <v>66</v>
      </c>
      <c r="I55" s="115">
        <v>224.0</v>
      </c>
      <c r="J55" s="116">
        <v>2.0</v>
      </c>
      <c r="K55" s="117">
        <v>0.0</v>
      </c>
      <c r="L55" s="118">
        <v>2.0</v>
      </c>
      <c r="M55" s="115" t="b">
        <v>0</v>
      </c>
    </row>
    <row r="56">
      <c r="A56" s="104">
        <v>1.0</v>
      </c>
      <c r="B56" s="105">
        <v>5.0</v>
      </c>
      <c r="C56" s="106" t="s">
        <v>10</v>
      </c>
      <c r="D56" s="106" t="s">
        <v>66</v>
      </c>
      <c r="E56" s="107">
        <v>90.0</v>
      </c>
      <c r="F56" s="108" t="s">
        <v>67</v>
      </c>
      <c r="G56" s="108">
        <v>104.0</v>
      </c>
      <c r="H56" s="108" t="s">
        <v>53</v>
      </c>
      <c r="I56" s="108">
        <v>194.0</v>
      </c>
      <c r="J56" s="109">
        <v>1.0</v>
      </c>
      <c r="K56" s="117">
        <v>1.0</v>
      </c>
      <c r="L56" s="118">
        <v>2.0</v>
      </c>
      <c r="M56" s="108" t="b">
        <v>1</v>
      </c>
    </row>
    <row r="57">
      <c r="A57" s="104">
        <v>1.0</v>
      </c>
      <c r="B57" s="112">
        <v>5.0</v>
      </c>
      <c r="C57" s="113" t="s">
        <v>14</v>
      </c>
      <c r="D57" s="113" t="s">
        <v>66</v>
      </c>
      <c r="E57" s="114">
        <v>138.0</v>
      </c>
      <c r="F57" s="115" t="s">
        <v>67</v>
      </c>
      <c r="G57" s="115">
        <v>125.0</v>
      </c>
      <c r="H57" s="115" t="s">
        <v>53</v>
      </c>
      <c r="I57" s="115">
        <v>263.0</v>
      </c>
      <c r="J57" s="116">
        <v>1.0</v>
      </c>
      <c r="K57" s="117">
        <v>1.0</v>
      </c>
      <c r="L57" s="118">
        <v>2.0</v>
      </c>
      <c r="M57" s="115" t="b">
        <v>1</v>
      </c>
    </row>
    <row r="58">
      <c r="A58" s="104">
        <v>1.0</v>
      </c>
      <c r="B58" s="105">
        <v>5.0</v>
      </c>
      <c r="C58" s="106" t="s">
        <v>13</v>
      </c>
      <c r="D58" s="106" t="s">
        <v>66</v>
      </c>
      <c r="E58" s="107">
        <v>112.0</v>
      </c>
      <c r="F58" s="108" t="s">
        <v>67</v>
      </c>
      <c r="G58" s="108">
        <v>112.0</v>
      </c>
      <c r="H58" s="108" t="s">
        <v>53</v>
      </c>
      <c r="I58" s="108">
        <v>224.0</v>
      </c>
      <c r="J58" s="109">
        <v>1.0</v>
      </c>
      <c r="K58" s="117">
        <v>1.0</v>
      </c>
      <c r="L58" s="118">
        <v>2.0</v>
      </c>
      <c r="M58" s="108" t="b">
        <v>0</v>
      </c>
    </row>
    <row r="59">
      <c r="A59" s="104">
        <v>1.0</v>
      </c>
      <c r="B59" s="112">
        <v>5.0</v>
      </c>
      <c r="C59" s="113" t="s">
        <v>7</v>
      </c>
      <c r="D59" s="113" t="s">
        <v>67</v>
      </c>
      <c r="E59" s="114">
        <v>99.0</v>
      </c>
      <c r="F59" s="115" t="s">
        <v>66</v>
      </c>
      <c r="G59" s="115">
        <v>124.0</v>
      </c>
      <c r="H59" s="115" t="s">
        <v>51</v>
      </c>
      <c r="I59" s="115">
        <v>223.0</v>
      </c>
      <c r="J59" s="116">
        <v>0.0</v>
      </c>
      <c r="K59" s="117">
        <v>2.0</v>
      </c>
      <c r="L59" s="118">
        <v>2.0</v>
      </c>
      <c r="M59" s="115" t="b">
        <v>1</v>
      </c>
    </row>
    <row r="60">
      <c r="A60" s="104">
        <v>1.0</v>
      </c>
      <c r="B60" s="105">
        <v>5.0</v>
      </c>
      <c r="C60" s="106" t="s">
        <v>8</v>
      </c>
      <c r="D60" s="106" t="s">
        <v>67</v>
      </c>
      <c r="E60" s="107">
        <v>80.0</v>
      </c>
      <c r="F60" s="108" t="s">
        <v>66</v>
      </c>
      <c r="G60" s="108">
        <v>128.0</v>
      </c>
      <c r="H60" s="108" t="s">
        <v>51</v>
      </c>
      <c r="I60" s="108">
        <v>208.0</v>
      </c>
      <c r="J60" s="109">
        <v>0.0</v>
      </c>
      <c r="K60" s="117">
        <v>2.0</v>
      </c>
      <c r="L60" s="118">
        <v>2.0</v>
      </c>
      <c r="M60" s="108" t="b">
        <v>1</v>
      </c>
    </row>
    <row r="61">
      <c r="A61" s="104">
        <v>1.0</v>
      </c>
      <c r="B61" s="112">
        <v>5.0</v>
      </c>
      <c r="C61" s="113" t="s">
        <v>9</v>
      </c>
      <c r="D61" s="113" t="s">
        <v>67</v>
      </c>
      <c r="E61" s="114">
        <v>76.0</v>
      </c>
      <c r="F61" s="115" t="s">
        <v>66</v>
      </c>
      <c r="G61" s="115">
        <v>76.0</v>
      </c>
      <c r="H61" s="115" t="s">
        <v>51</v>
      </c>
      <c r="I61" s="115">
        <v>152.0</v>
      </c>
      <c r="J61" s="116">
        <v>0.0</v>
      </c>
      <c r="K61" s="117">
        <v>2.0</v>
      </c>
      <c r="L61" s="118">
        <v>2.0</v>
      </c>
      <c r="M61" s="115" t="b">
        <v>1</v>
      </c>
    </row>
    <row r="62">
      <c r="A62" s="104">
        <v>1.0</v>
      </c>
      <c r="B62" s="105">
        <v>6.0</v>
      </c>
      <c r="C62" s="106" t="s">
        <v>4</v>
      </c>
      <c r="D62" s="106" t="s">
        <v>51</v>
      </c>
      <c r="E62" s="107">
        <v>133.0</v>
      </c>
      <c r="F62" s="108" t="s">
        <v>53</v>
      </c>
      <c r="G62" s="108">
        <v>111.0</v>
      </c>
      <c r="H62" s="108" t="s">
        <v>53</v>
      </c>
      <c r="I62" s="108">
        <v>244.0</v>
      </c>
      <c r="J62" s="109">
        <v>1.0</v>
      </c>
      <c r="K62" s="117">
        <v>1.0</v>
      </c>
      <c r="L62" s="118">
        <v>2.0</v>
      </c>
      <c r="M62" s="108" t="b">
        <v>1</v>
      </c>
    </row>
    <row r="63">
      <c r="A63" s="104">
        <v>1.0</v>
      </c>
      <c r="B63" s="112">
        <v>6.0</v>
      </c>
      <c r="C63" s="113" t="s">
        <v>7</v>
      </c>
      <c r="D63" s="113" t="s">
        <v>51</v>
      </c>
      <c r="E63" s="114">
        <v>123.0</v>
      </c>
      <c r="F63" s="115" t="s">
        <v>53</v>
      </c>
      <c r="G63" s="115">
        <v>149.0</v>
      </c>
      <c r="H63" s="115" t="s">
        <v>53</v>
      </c>
      <c r="I63" s="115">
        <v>272.0</v>
      </c>
      <c r="J63" s="116">
        <v>1.0</v>
      </c>
      <c r="K63" s="117">
        <v>1.0</v>
      </c>
      <c r="L63" s="118">
        <v>2.0</v>
      </c>
      <c r="M63" s="115" t="b">
        <v>1</v>
      </c>
    </row>
    <row r="64">
      <c r="A64" s="104">
        <v>1.0</v>
      </c>
      <c r="B64" s="105">
        <v>6.0</v>
      </c>
      <c r="C64" s="106" t="s">
        <v>9</v>
      </c>
      <c r="D64" s="106" t="s">
        <v>51</v>
      </c>
      <c r="E64" s="107">
        <v>112.0</v>
      </c>
      <c r="F64" s="108" t="s">
        <v>53</v>
      </c>
      <c r="G64" s="108">
        <v>112.0</v>
      </c>
      <c r="H64" s="108" t="s">
        <v>53</v>
      </c>
      <c r="I64" s="108">
        <v>224.0</v>
      </c>
      <c r="J64" s="109">
        <v>1.0</v>
      </c>
      <c r="K64" s="117">
        <v>1.0</v>
      </c>
      <c r="L64" s="118">
        <v>2.0</v>
      </c>
      <c r="M64" s="108" t="b">
        <v>0</v>
      </c>
    </row>
    <row r="65">
      <c r="A65" s="104">
        <v>1.0</v>
      </c>
      <c r="B65" s="112">
        <v>6.0</v>
      </c>
      <c r="C65" s="113" t="s">
        <v>8</v>
      </c>
      <c r="D65" s="113" t="s">
        <v>53</v>
      </c>
      <c r="E65" s="114">
        <v>117.0</v>
      </c>
      <c r="F65" s="115" t="s">
        <v>51</v>
      </c>
      <c r="G65" s="115">
        <v>125.0</v>
      </c>
      <c r="H65" s="115" t="s">
        <v>51</v>
      </c>
      <c r="I65" s="115">
        <v>242.0</v>
      </c>
      <c r="J65" s="116">
        <v>1.0</v>
      </c>
      <c r="K65" s="117">
        <v>1.0</v>
      </c>
      <c r="L65" s="118">
        <v>2.0</v>
      </c>
      <c r="M65" s="115" t="b">
        <v>1</v>
      </c>
    </row>
    <row r="66">
      <c r="A66" s="104">
        <v>1.0</v>
      </c>
      <c r="B66" s="105">
        <v>6.0</v>
      </c>
      <c r="C66" s="106" t="s">
        <v>6</v>
      </c>
      <c r="D66" s="106" t="s">
        <v>53</v>
      </c>
      <c r="E66" s="107">
        <v>120.0</v>
      </c>
      <c r="F66" s="108" t="s">
        <v>51</v>
      </c>
      <c r="G66" s="108">
        <v>113.0</v>
      </c>
      <c r="H66" s="108" t="s">
        <v>51</v>
      </c>
      <c r="I66" s="108">
        <v>233.0</v>
      </c>
      <c r="J66" s="109">
        <v>1.0</v>
      </c>
      <c r="K66" s="117">
        <v>1.0</v>
      </c>
      <c r="L66" s="118">
        <v>2.0</v>
      </c>
      <c r="M66" s="108" t="b">
        <v>1</v>
      </c>
    </row>
    <row r="67">
      <c r="A67" s="104">
        <v>1.0</v>
      </c>
      <c r="B67" s="112">
        <v>6.0</v>
      </c>
      <c r="C67" s="113" t="s">
        <v>10</v>
      </c>
      <c r="D67" s="113" t="s">
        <v>53</v>
      </c>
      <c r="E67" s="114">
        <v>133.0</v>
      </c>
      <c r="F67" s="115" t="s">
        <v>51</v>
      </c>
      <c r="G67" s="115">
        <v>126.0</v>
      </c>
      <c r="H67" s="115" t="s">
        <v>51</v>
      </c>
      <c r="I67" s="115">
        <v>259.0</v>
      </c>
      <c r="J67" s="116">
        <v>1.0</v>
      </c>
      <c r="K67" s="117">
        <v>1.0</v>
      </c>
      <c r="L67" s="118">
        <v>2.0</v>
      </c>
      <c r="M67" s="115" t="b">
        <v>1</v>
      </c>
    </row>
    <row r="68">
      <c r="A68" s="104">
        <v>1.0</v>
      </c>
      <c r="B68" s="105">
        <v>7.0</v>
      </c>
      <c r="C68" s="106" t="s">
        <v>14</v>
      </c>
      <c r="D68" s="106" t="s">
        <v>51</v>
      </c>
      <c r="E68" s="107">
        <v>123.0</v>
      </c>
      <c r="F68" s="108" t="s">
        <v>53</v>
      </c>
      <c r="G68" s="108">
        <v>131.0</v>
      </c>
      <c r="H68" s="108" t="s">
        <v>53</v>
      </c>
      <c r="I68" s="108">
        <v>254.0</v>
      </c>
      <c r="J68" s="109">
        <v>0.0</v>
      </c>
      <c r="K68" s="117">
        <v>2.0</v>
      </c>
      <c r="L68" s="118">
        <v>2.0</v>
      </c>
      <c r="M68" s="108" t="b">
        <v>1</v>
      </c>
    </row>
    <row r="69">
      <c r="A69" s="104">
        <v>1.0</v>
      </c>
      <c r="B69" s="112">
        <v>7.0</v>
      </c>
      <c r="C69" s="113" t="s">
        <v>6</v>
      </c>
      <c r="D69" s="113" t="s">
        <v>51</v>
      </c>
      <c r="E69" s="114">
        <v>79.0</v>
      </c>
      <c r="F69" s="115" t="s">
        <v>53</v>
      </c>
      <c r="G69" s="115">
        <v>109.0</v>
      </c>
      <c r="H69" s="115" t="s">
        <v>53</v>
      </c>
      <c r="I69" s="115">
        <v>188.0</v>
      </c>
      <c r="J69" s="116">
        <v>0.0</v>
      </c>
      <c r="K69" s="117">
        <v>2.0</v>
      </c>
      <c r="L69" s="118">
        <v>2.0</v>
      </c>
      <c r="M69" s="115" t="b">
        <v>1</v>
      </c>
    </row>
    <row r="70">
      <c r="A70" s="104">
        <v>1.0</v>
      </c>
      <c r="B70" s="105">
        <v>7.0</v>
      </c>
      <c r="C70" s="106" t="s">
        <v>9</v>
      </c>
      <c r="D70" s="106" t="s">
        <v>51</v>
      </c>
      <c r="E70" s="107">
        <v>71.0</v>
      </c>
      <c r="F70" s="108" t="s">
        <v>53</v>
      </c>
      <c r="G70" s="108">
        <v>75.0</v>
      </c>
      <c r="H70" s="108" t="s">
        <v>53</v>
      </c>
      <c r="I70" s="108">
        <v>146.0</v>
      </c>
      <c r="J70" s="109">
        <v>0.0</v>
      </c>
      <c r="K70" s="117">
        <v>2.0</v>
      </c>
      <c r="L70" s="118">
        <v>2.0</v>
      </c>
      <c r="M70" s="108" t="b">
        <v>1</v>
      </c>
    </row>
    <row r="71">
      <c r="A71" s="104">
        <v>1.0</v>
      </c>
      <c r="B71" s="112">
        <v>7.0</v>
      </c>
      <c r="C71" s="113" t="s">
        <v>11</v>
      </c>
      <c r="D71" s="113" t="s">
        <v>53</v>
      </c>
      <c r="E71" s="114">
        <v>165.0</v>
      </c>
      <c r="F71" s="115" t="s">
        <v>51</v>
      </c>
      <c r="G71" s="115">
        <v>119.0</v>
      </c>
      <c r="H71" s="115" t="s">
        <v>51</v>
      </c>
      <c r="I71" s="115">
        <v>284.0</v>
      </c>
      <c r="J71" s="116">
        <v>2.0</v>
      </c>
      <c r="K71" s="117">
        <v>0.0</v>
      </c>
      <c r="L71" s="118">
        <v>2.0</v>
      </c>
      <c r="M71" s="115" t="b">
        <v>1</v>
      </c>
    </row>
    <row r="72">
      <c r="A72" s="104">
        <v>1.0</v>
      </c>
      <c r="B72" s="105">
        <v>7.0</v>
      </c>
      <c r="C72" s="106" t="s">
        <v>13</v>
      </c>
      <c r="D72" s="106" t="s">
        <v>53</v>
      </c>
      <c r="E72" s="107">
        <v>99.0</v>
      </c>
      <c r="F72" s="108" t="s">
        <v>51</v>
      </c>
      <c r="G72" s="108">
        <v>114.0</v>
      </c>
      <c r="H72" s="108" t="s">
        <v>51</v>
      </c>
      <c r="I72" s="108">
        <v>213.0</v>
      </c>
      <c r="J72" s="109">
        <v>2.0</v>
      </c>
      <c r="K72" s="117">
        <v>0.0</v>
      </c>
      <c r="L72" s="118">
        <v>2.0</v>
      </c>
      <c r="M72" s="108" t="b">
        <v>1</v>
      </c>
    </row>
    <row r="73">
      <c r="A73" s="104">
        <v>1.0</v>
      </c>
      <c r="B73" s="112">
        <v>7.0</v>
      </c>
      <c r="C73" s="113" t="s">
        <v>10</v>
      </c>
      <c r="D73" s="113" t="s">
        <v>53</v>
      </c>
      <c r="E73" s="114">
        <v>130.0</v>
      </c>
      <c r="F73" s="115" t="s">
        <v>51</v>
      </c>
      <c r="G73" s="115">
        <v>124.0</v>
      </c>
      <c r="H73" s="115" t="s">
        <v>51</v>
      </c>
      <c r="I73" s="115">
        <v>254.0</v>
      </c>
      <c r="J73" s="116">
        <v>2.0</v>
      </c>
      <c r="K73" s="117">
        <v>0.0</v>
      </c>
      <c r="L73" s="118">
        <v>2.0</v>
      </c>
      <c r="M73" s="115" t="b">
        <v>1</v>
      </c>
    </row>
    <row r="74">
      <c r="A74" s="104">
        <v>1.0</v>
      </c>
      <c r="B74" s="105" t="s">
        <v>77</v>
      </c>
      <c r="C74" s="106" t="s">
        <v>4</v>
      </c>
      <c r="D74" s="106" t="s">
        <v>51</v>
      </c>
      <c r="E74" s="107">
        <v>110.0</v>
      </c>
      <c r="F74" s="108" t="s">
        <v>53</v>
      </c>
      <c r="G74" s="108">
        <v>111.0</v>
      </c>
      <c r="H74" s="108" t="s">
        <v>67</v>
      </c>
      <c r="I74" s="108">
        <v>221.0</v>
      </c>
      <c r="J74" s="109">
        <v>1.0</v>
      </c>
      <c r="K74" s="117">
        <v>1.0</v>
      </c>
      <c r="L74" s="118">
        <v>2.0</v>
      </c>
      <c r="M74" s="108" t="b">
        <v>1</v>
      </c>
    </row>
    <row r="75">
      <c r="A75" s="104">
        <v>1.0</v>
      </c>
      <c r="B75" s="112" t="s">
        <v>77</v>
      </c>
      <c r="C75" s="113" t="s">
        <v>17</v>
      </c>
      <c r="D75" s="113" t="s">
        <v>51</v>
      </c>
      <c r="E75" s="114">
        <v>154.0</v>
      </c>
      <c r="F75" s="115" t="s">
        <v>53</v>
      </c>
      <c r="G75" s="115">
        <v>117.0</v>
      </c>
      <c r="H75" s="115" t="s">
        <v>67</v>
      </c>
      <c r="I75" s="115">
        <v>271.0</v>
      </c>
      <c r="J75" s="116">
        <v>1.0</v>
      </c>
      <c r="K75" s="117">
        <v>1.0</v>
      </c>
      <c r="L75" s="118">
        <v>2.0</v>
      </c>
      <c r="M75" s="115" t="b">
        <v>1</v>
      </c>
    </row>
    <row r="76">
      <c r="A76" s="104">
        <v>1.0</v>
      </c>
      <c r="B76" s="105" t="s">
        <v>77</v>
      </c>
      <c r="C76" s="106" t="s">
        <v>12</v>
      </c>
      <c r="D76" s="106" t="s">
        <v>51</v>
      </c>
      <c r="E76" s="107">
        <v>150.0</v>
      </c>
      <c r="F76" s="108" t="s">
        <v>53</v>
      </c>
      <c r="G76" s="108">
        <v>93.0</v>
      </c>
      <c r="H76" s="108" t="s">
        <v>67</v>
      </c>
      <c r="I76" s="108">
        <v>243.0</v>
      </c>
      <c r="J76" s="109">
        <v>1.0</v>
      </c>
      <c r="K76" s="117">
        <v>1.0</v>
      </c>
      <c r="L76" s="118">
        <v>2.0</v>
      </c>
      <c r="M76" s="108" t="b">
        <v>1</v>
      </c>
    </row>
    <row r="77">
      <c r="A77" s="104">
        <v>1.0</v>
      </c>
      <c r="B77" s="112" t="s">
        <v>77</v>
      </c>
      <c r="C77" s="113" t="s">
        <v>13</v>
      </c>
      <c r="D77" s="113" t="s">
        <v>53</v>
      </c>
      <c r="E77" s="114">
        <v>121.0</v>
      </c>
      <c r="F77" s="115" t="s">
        <v>51</v>
      </c>
      <c r="G77" s="119"/>
      <c r="H77" s="119"/>
      <c r="I77" s="115">
        <v>121.0</v>
      </c>
      <c r="J77" s="116">
        <v>0.0</v>
      </c>
      <c r="K77" s="117">
        <v>1.0</v>
      </c>
      <c r="L77" s="118">
        <v>1.0</v>
      </c>
      <c r="M77" s="115" t="b">
        <v>1</v>
      </c>
    </row>
    <row r="78">
      <c r="A78" s="104">
        <v>1.0</v>
      </c>
      <c r="B78" s="105" t="s">
        <v>77</v>
      </c>
      <c r="C78" s="106" t="s">
        <v>10</v>
      </c>
      <c r="D78" s="106" t="s">
        <v>53</v>
      </c>
      <c r="E78" s="107">
        <v>107.0</v>
      </c>
      <c r="F78" s="108" t="s">
        <v>51</v>
      </c>
      <c r="G78" s="120"/>
      <c r="H78" s="120"/>
      <c r="I78" s="108">
        <v>107.0</v>
      </c>
      <c r="J78" s="109">
        <v>0.0</v>
      </c>
      <c r="K78" s="117">
        <v>1.0</v>
      </c>
      <c r="L78" s="118">
        <v>1.0</v>
      </c>
      <c r="M78" s="108" t="b">
        <v>1</v>
      </c>
    </row>
    <row r="79">
      <c r="A79" s="104">
        <v>1.0</v>
      </c>
      <c r="B79" s="112" t="s">
        <v>77</v>
      </c>
      <c r="C79" s="113" t="s">
        <v>8</v>
      </c>
      <c r="D79" s="113" t="s">
        <v>53</v>
      </c>
      <c r="E79" s="114">
        <v>124.0</v>
      </c>
      <c r="F79" s="115" t="s">
        <v>51</v>
      </c>
      <c r="G79" s="119"/>
      <c r="H79" s="119"/>
      <c r="I79" s="115">
        <v>124.0</v>
      </c>
      <c r="J79" s="116">
        <v>0.0</v>
      </c>
      <c r="K79" s="117">
        <v>1.0</v>
      </c>
      <c r="L79" s="118">
        <v>1.0</v>
      </c>
      <c r="M79" s="115" t="b">
        <v>1</v>
      </c>
    </row>
    <row r="80">
      <c r="A80" s="104">
        <v>1.0</v>
      </c>
      <c r="B80" s="105" t="s">
        <v>77</v>
      </c>
      <c r="C80" s="106" t="s">
        <v>6</v>
      </c>
      <c r="D80" s="106" t="s">
        <v>66</v>
      </c>
      <c r="E80" s="107">
        <v>123.0</v>
      </c>
      <c r="F80" s="108" t="s">
        <v>67</v>
      </c>
      <c r="G80" s="120"/>
      <c r="H80" s="120"/>
      <c r="I80" s="108">
        <v>123.0</v>
      </c>
      <c r="J80" s="109">
        <v>0.0</v>
      </c>
      <c r="K80" s="117">
        <v>1.0</v>
      </c>
      <c r="L80" s="118">
        <v>1.0</v>
      </c>
      <c r="M80" s="108" t="b">
        <v>1</v>
      </c>
    </row>
    <row r="81">
      <c r="A81" s="104">
        <v>1.0</v>
      </c>
      <c r="B81" s="112" t="s">
        <v>77</v>
      </c>
      <c r="C81" s="113" t="s">
        <v>14</v>
      </c>
      <c r="D81" s="113" t="s">
        <v>66</v>
      </c>
      <c r="E81" s="114">
        <v>129.0</v>
      </c>
      <c r="F81" s="115" t="s">
        <v>67</v>
      </c>
      <c r="G81" s="119"/>
      <c r="H81" s="119"/>
      <c r="I81" s="115">
        <v>129.0</v>
      </c>
      <c r="J81" s="116">
        <v>0.0</v>
      </c>
      <c r="K81" s="117">
        <v>1.0</v>
      </c>
      <c r="L81" s="118">
        <v>1.0</v>
      </c>
      <c r="M81" s="115" t="b">
        <v>0</v>
      </c>
    </row>
    <row r="82">
      <c r="A82" s="104">
        <v>1.0</v>
      </c>
      <c r="B82" s="105" t="s">
        <v>77</v>
      </c>
      <c r="C82" s="106" t="s">
        <v>15</v>
      </c>
      <c r="D82" s="106" t="s">
        <v>66</v>
      </c>
      <c r="E82" s="107">
        <v>82.0</v>
      </c>
      <c r="F82" s="108" t="s">
        <v>67</v>
      </c>
      <c r="G82" s="120"/>
      <c r="H82" s="120"/>
      <c r="I82" s="108">
        <v>82.0</v>
      </c>
      <c r="J82" s="109">
        <v>0.0</v>
      </c>
      <c r="K82" s="117">
        <v>1.0</v>
      </c>
      <c r="L82" s="118">
        <v>1.0</v>
      </c>
      <c r="M82" s="108" t="b">
        <v>0</v>
      </c>
    </row>
    <row r="83">
      <c r="A83" s="104">
        <v>1.0</v>
      </c>
      <c r="B83" s="112" t="s">
        <v>77</v>
      </c>
      <c r="C83" s="113" t="s">
        <v>7</v>
      </c>
      <c r="D83" s="113" t="s">
        <v>67</v>
      </c>
      <c r="E83" s="114">
        <v>127.0</v>
      </c>
      <c r="F83" s="115" t="s">
        <v>66</v>
      </c>
      <c r="G83" s="115">
        <v>128.0</v>
      </c>
      <c r="H83" s="115" t="s">
        <v>51</v>
      </c>
      <c r="I83" s="115">
        <v>255.0</v>
      </c>
      <c r="J83" s="116">
        <v>2.0</v>
      </c>
      <c r="K83" s="117">
        <v>0.0</v>
      </c>
      <c r="L83" s="118">
        <v>2.0</v>
      </c>
      <c r="M83" s="115" t="b">
        <v>1</v>
      </c>
    </row>
    <row r="84">
      <c r="A84" s="104">
        <v>1.0</v>
      </c>
      <c r="B84" s="105" t="s">
        <v>77</v>
      </c>
      <c r="C84" s="106" t="s">
        <v>9</v>
      </c>
      <c r="D84" s="106" t="s">
        <v>67</v>
      </c>
      <c r="E84" s="107">
        <v>127.0</v>
      </c>
      <c r="F84" s="108" t="s">
        <v>66</v>
      </c>
      <c r="G84" s="108">
        <v>81.0</v>
      </c>
      <c r="H84" s="108" t="s">
        <v>51</v>
      </c>
      <c r="I84" s="108">
        <v>208.0</v>
      </c>
      <c r="J84" s="109">
        <v>2.0</v>
      </c>
      <c r="K84" s="117">
        <v>0.0</v>
      </c>
      <c r="L84" s="118">
        <v>2.0</v>
      </c>
      <c r="M84" s="108" t="b">
        <v>1</v>
      </c>
    </row>
    <row r="85">
      <c r="A85" s="104">
        <v>1.0</v>
      </c>
      <c r="B85" s="112" t="s">
        <v>77</v>
      </c>
      <c r="C85" s="113" t="s">
        <v>11</v>
      </c>
      <c r="D85" s="113" t="s">
        <v>67</v>
      </c>
      <c r="E85" s="114">
        <v>131.0</v>
      </c>
      <c r="F85" s="115" t="s">
        <v>66</v>
      </c>
      <c r="G85" s="115">
        <v>131.0</v>
      </c>
      <c r="H85" s="115" t="s">
        <v>51</v>
      </c>
      <c r="I85" s="115">
        <v>262.0</v>
      </c>
      <c r="J85" s="116">
        <v>2.0</v>
      </c>
      <c r="K85" s="117">
        <v>0.0</v>
      </c>
      <c r="L85" s="118">
        <v>2.0</v>
      </c>
      <c r="M85" s="115" t="b">
        <v>0</v>
      </c>
    </row>
    <row r="86">
      <c r="A86" s="14">
        <v>2.0</v>
      </c>
      <c r="B86" s="13">
        <v>1.0</v>
      </c>
      <c r="C86" s="13" t="s">
        <v>17</v>
      </c>
      <c r="D86" s="13" t="s">
        <v>51</v>
      </c>
      <c r="E86" s="14">
        <v>116.0</v>
      </c>
      <c r="F86" s="121" t="s">
        <v>53</v>
      </c>
      <c r="G86" s="121">
        <v>113.0</v>
      </c>
      <c r="H86" s="121" t="s">
        <v>53</v>
      </c>
      <c r="I86" s="121">
        <v>229.0</v>
      </c>
      <c r="J86" s="121">
        <v>1.0</v>
      </c>
      <c r="K86" s="121">
        <v>1.0</v>
      </c>
      <c r="L86" s="14">
        <v>2.0</v>
      </c>
      <c r="M86" s="121" t="b">
        <v>1</v>
      </c>
    </row>
    <row r="87">
      <c r="A87" s="14">
        <v>2.0</v>
      </c>
      <c r="B87" s="13">
        <v>1.0</v>
      </c>
      <c r="C87" s="13" t="s">
        <v>6</v>
      </c>
      <c r="D87" s="13" t="s">
        <v>51</v>
      </c>
      <c r="E87" s="14">
        <v>116.0</v>
      </c>
      <c r="F87" s="121" t="s">
        <v>53</v>
      </c>
      <c r="G87" s="121">
        <v>92.0</v>
      </c>
      <c r="H87" s="121" t="s">
        <v>53</v>
      </c>
      <c r="I87" s="121">
        <v>208.0</v>
      </c>
      <c r="J87" s="121">
        <v>1.0</v>
      </c>
      <c r="K87" s="121">
        <v>1.0</v>
      </c>
      <c r="L87" s="14">
        <v>2.0</v>
      </c>
      <c r="M87" s="121" t="b">
        <v>1</v>
      </c>
    </row>
    <row r="88">
      <c r="A88" s="14">
        <v>2.0</v>
      </c>
      <c r="B88" s="13">
        <v>1.0</v>
      </c>
      <c r="C88" s="13" t="s">
        <v>7</v>
      </c>
      <c r="D88" s="13" t="s">
        <v>51</v>
      </c>
      <c r="E88" s="14">
        <v>111.0</v>
      </c>
      <c r="F88" s="121" t="s">
        <v>53</v>
      </c>
      <c r="G88" s="121">
        <v>119.0</v>
      </c>
      <c r="H88" s="121" t="s">
        <v>53</v>
      </c>
      <c r="I88" s="121">
        <v>230.0</v>
      </c>
      <c r="J88" s="121">
        <v>1.0</v>
      </c>
      <c r="K88" s="121">
        <v>1.0</v>
      </c>
      <c r="L88" s="14">
        <v>2.0</v>
      </c>
      <c r="M88" s="121" t="b">
        <v>1</v>
      </c>
    </row>
    <row r="89">
      <c r="A89" s="14">
        <v>2.0</v>
      </c>
      <c r="B89" s="13">
        <v>1.0</v>
      </c>
      <c r="C89" s="13" t="s">
        <v>8</v>
      </c>
      <c r="D89" s="13" t="s">
        <v>51</v>
      </c>
      <c r="E89" s="14">
        <v>120.0</v>
      </c>
      <c r="F89" s="121" t="s">
        <v>53</v>
      </c>
      <c r="G89" s="121">
        <v>120.0</v>
      </c>
      <c r="H89" s="121" t="s">
        <v>53</v>
      </c>
      <c r="I89" s="121">
        <v>240.0</v>
      </c>
      <c r="J89" s="121">
        <v>1.0</v>
      </c>
      <c r="K89" s="121">
        <v>1.0</v>
      </c>
      <c r="L89" s="14">
        <v>2.0</v>
      </c>
      <c r="M89" s="121" t="b">
        <v>0</v>
      </c>
    </row>
    <row r="90">
      <c r="A90" s="14">
        <v>2.0</v>
      </c>
      <c r="B90" s="13">
        <v>1.0</v>
      </c>
      <c r="C90" s="13" t="s">
        <v>14</v>
      </c>
      <c r="D90" s="13" t="s">
        <v>53</v>
      </c>
      <c r="E90" s="14">
        <v>94.0</v>
      </c>
      <c r="F90" s="121" t="s">
        <v>51</v>
      </c>
      <c r="G90" s="121">
        <v>128.0</v>
      </c>
      <c r="H90" s="121" t="s">
        <v>51</v>
      </c>
      <c r="I90" s="121">
        <v>222.0</v>
      </c>
      <c r="J90" s="121">
        <v>1.0</v>
      </c>
      <c r="K90" s="121">
        <v>1.0</v>
      </c>
      <c r="L90" s="14">
        <v>2.0</v>
      </c>
      <c r="M90" s="121" t="b">
        <v>1</v>
      </c>
    </row>
    <row r="91">
      <c r="A91" s="14">
        <v>2.0</v>
      </c>
      <c r="B91" s="13">
        <v>1.0</v>
      </c>
      <c r="C91" s="13" t="s">
        <v>11</v>
      </c>
      <c r="D91" s="13" t="s">
        <v>53</v>
      </c>
      <c r="E91" s="14">
        <v>106.0</v>
      </c>
      <c r="F91" s="121" t="s">
        <v>51</v>
      </c>
      <c r="G91" s="121">
        <v>156.0</v>
      </c>
      <c r="H91" s="121" t="s">
        <v>51</v>
      </c>
      <c r="I91" s="121">
        <v>262.0</v>
      </c>
      <c r="J91" s="121">
        <v>1.0</v>
      </c>
      <c r="K91" s="121">
        <v>1.0</v>
      </c>
      <c r="L91" s="14">
        <v>2.0</v>
      </c>
      <c r="M91" s="121" t="b">
        <v>1</v>
      </c>
    </row>
    <row r="92">
      <c r="A92" s="14">
        <v>2.0</v>
      </c>
      <c r="B92" s="13">
        <v>1.0</v>
      </c>
      <c r="C92" s="13" t="s">
        <v>4</v>
      </c>
      <c r="D92" s="13" t="s">
        <v>53</v>
      </c>
      <c r="E92" s="14">
        <v>124.0</v>
      </c>
      <c r="F92" s="121" t="s">
        <v>51</v>
      </c>
      <c r="G92" s="121">
        <v>113.0</v>
      </c>
      <c r="H92" s="121" t="s">
        <v>51</v>
      </c>
      <c r="I92" s="121">
        <v>237.0</v>
      </c>
      <c r="J92" s="121">
        <v>1.0</v>
      </c>
      <c r="K92" s="121">
        <v>1.0</v>
      </c>
      <c r="L92" s="14">
        <v>2.0</v>
      </c>
      <c r="M92" s="121" t="b">
        <v>1</v>
      </c>
    </row>
    <row r="93">
      <c r="A93" s="14">
        <v>2.0</v>
      </c>
      <c r="B93" s="13">
        <v>1.0</v>
      </c>
      <c r="C93" s="13" t="s">
        <v>12</v>
      </c>
      <c r="D93" s="13" t="s">
        <v>53</v>
      </c>
      <c r="E93" s="14">
        <v>95.0</v>
      </c>
      <c r="F93" s="121" t="s">
        <v>51</v>
      </c>
      <c r="G93" s="121">
        <v>107.0</v>
      </c>
      <c r="H93" s="121" t="s">
        <v>51</v>
      </c>
      <c r="I93" s="121">
        <v>202.0</v>
      </c>
      <c r="J93" s="121">
        <v>1.0</v>
      </c>
      <c r="K93" s="121">
        <v>1.0</v>
      </c>
      <c r="L93" s="14">
        <v>2.0</v>
      </c>
      <c r="M93" s="121" t="b">
        <v>1</v>
      </c>
    </row>
    <row r="94">
      <c r="A94" s="14">
        <v>2.0</v>
      </c>
      <c r="B94" s="14">
        <v>2.0</v>
      </c>
      <c r="C94" s="13" t="s">
        <v>11</v>
      </c>
      <c r="D94" s="13" t="s">
        <v>51</v>
      </c>
      <c r="E94" s="14">
        <v>176.0</v>
      </c>
      <c r="F94" s="121" t="s">
        <v>53</v>
      </c>
      <c r="G94" s="121">
        <v>125.0</v>
      </c>
      <c r="H94" s="121" t="s">
        <v>53</v>
      </c>
      <c r="I94" s="121">
        <v>301.0</v>
      </c>
      <c r="J94" s="121">
        <v>1.0</v>
      </c>
      <c r="K94" s="121">
        <v>1.0</v>
      </c>
      <c r="L94" s="14">
        <v>2.0</v>
      </c>
      <c r="M94" s="121" t="b">
        <v>1</v>
      </c>
    </row>
    <row r="95">
      <c r="A95" s="14">
        <v>2.0</v>
      </c>
      <c r="B95" s="14">
        <v>2.0</v>
      </c>
      <c r="C95" s="13" t="s">
        <v>4</v>
      </c>
      <c r="D95" s="13" t="s">
        <v>51</v>
      </c>
      <c r="E95" s="14">
        <v>139.0</v>
      </c>
      <c r="F95" s="121" t="s">
        <v>53</v>
      </c>
      <c r="G95" s="121">
        <v>142.0</v>
      </c>
      <c r="H95" s="121" t="s">
        <v>53</v>
      </c>
      <c r="I95" s="121">
        <v>281.0</v>
      </c>
      <c r="J95" s="121">
        <v>1.0</v>
      </c>
      <c r="K95" s="121">
        <v>1.0</v>
      </c>
      <c r="L95" s="14">
        <v>2.0</v>
      </c>
      <c r="M95" s="121" t="b">
        <v>1</v>
      </c>
    </row>
    <row r="96">
      <c r="A96" s="14">
        <v>2.0</v>
      </c>
      <c r="B96" s="14">
        <v>2.0</v>
      </c>
      <c r="C96" s="13" t="s">
        <v>10</v>
      </c>
      <c r="D96" s="13" t="s">
        <v>51</v>
      </c>
      <c r="E96" s="14">
        <v>115.0</v>
      </c>
      <c r="F96" s="121" t="s">
        <v>53</v>
      </c>
      <c r="G96" s="121">
        <v>108.0</v>
      </c>
      <c r="H96" s="121" t="s">
        <v>53</v>
      </c>
      <c r="I96" s="121">
        <v>223.0</v>
      </c>
      <c r="J96" s="121">
        <v>1.0</v>
      </c>
      <c r="K96" s="121">
        <v>1.0</v>
      </c>
      <c r="L96" s="14">
        <v>2.0</v>
      </c>
      <c r="M96" s="121" t="b">
        <v>1</v>
      </c>
    </row>
    <row r="97">
      <c r="A97" s="14">
        <v>2.0</v>
      </c>
      <c r="B97" s="14">
        <v>2.0</v>
      </c>
      <c r="C97" s="13" t="s">
        <v>9</v>
      </c>
      <c r="D97" s="13" t="s">
        <v>51</v>
      </c>
      <c r="E97" s="14">
        <v>94.0</v>
      </c>
      <c r="F97" s="121" t="s">
        <v>53</v>
      </c>
      <c r="G97" s="121">
        <v>79.0</v>
      </c>
      <c r="H97" s="121" t="s">
        <v>53</v>
      </c>
      <c r="I97" s="121">
        <v>173.0</v>
      </c>
      <c r="J97" s="121">
        <v>1.0</v>
      </c>
      <c r="K97" s="121">
        <v>1.0</v>
      </c>
      <c r="L97" s="14">
        <v>2.0</v>
      </c>
      <c r="M97" s="121" t="b">
        <v>1</v>
      </c>
    </row>
    <row r="98">
      <c r="A98" s="14">
        <v>2.0</v>
      </c>
      <c r="B98" s="14">
        <v>2.0</v>
      </c>
      <c r="C98" s="13" t="s">
        <v>17</v>
      </c>
      <c r="D98" s="13" t="s">
        <v>53</v>
      </c>
      <c r="E98" s="14">
        <v>97.0</v>
      </c>
      <c r="F98" s="121" t="s">
        <v>51</v>
      </c>
      <c r="G98" s="121">
        <v>117.0</v>
      </c>
      <c r="H98" s="121" t="s">
        <v>51</v>
      </c>
      <c r="I98" s="121">
        <v>214.0</v>
      </c>
      <c r="J98" s="121">
        <v>1.0</v>
      </c>
      <c r="K98" s="121">
        <v>1.0</v>
      </c>
      <c r="L98" s="14">
        <v>2.0</v>
      </c>
      <c r="M98" s="121" t="b">
        <v>1</v>
      </c>
    </row>
    <row r="99">
      <c r="A99" s="14">
        <v>2.0</v>
      </c>
      <c r="B99" s="14">
        <v>2.0</v>
      </c>
      <c r="C99" s="13" t="s">
        <v>8</v>
      </c>
      <c r="D99" s="13" t="s">
        <v>53</v>
      </c>
      <c r="E99" s="14">
        <v>117.0</v>
      </c>
      <c r="F99" s="121" t="s">
        <v>51</v>
      </c>
      <c r="G99" s="121">
        <v>92.0</v>
      </c>
      <c r="H99" s="121" t="s">
        <v>51</v>
      </c>
      <c r="I99" s="121">
        <v>209.0</v>
      </c>
      <c r="J99" s="121">
        <v>1.0</v>
      </c>
      <c r="K99" s="121">
        <v>1.0</v>
      </c>
      <c r="L99" s="14">
        <v>2.0</v>
      </c>
      <c r="M99" s="121" t="b">
        <v>1</v>
      </c>
    </row>
    <row r="100">
      <c r="A100" s="14">
        <v>2.0</v>
      </c>
      <c r="B100" s="14">
        <v>2.0</v>
      </c>
      <c r="C100" s="13" t="s">
        <v>7</v>
      </c>
      <c r="D100" s="13" t="s">
        <v>53</v>
      </c>
      <c r="E100" s="14">
        <v>140.0</v>
      </c>
      <c r="F100" s="121" t="s">
        <v>51</v>
      </c>
      <c r="G100" s="121">
        <v>146.0</v>
      </c>
      <c r="H100" s="121" t="s">
        <v>51</v>
      </c>
      <c r="I100" s="121">
        <v>286.0</v>
      </c>
      <c r="J100" s="121">
        <v>1.0</v>
      </c>
      <c r="K100" s="121">
        <v>1.0</v>
      </c>
      <c r="L100" s="14">
        <v>2.0</v>
      </c>
      <c r="M100" s="121" t="b">
        <v>1</v>
      </c>
    </row>
    <row r="101">
      <c r="A101" s="14">
        <v>2.0</v>
      </c>
      <c r="B101" s="14">
        <v>2.0</v>
      </c>
      <c r="C101" s="13" t="s">
        <v>18</v>
      </c>
      <c r="D101" s="13" t="s">
        <v>53</v>
      </c>
      <c r="E101" s="14">
        <v>128.0</v>
      </c>
      <c r="F101" s="121" t="s">
        <v>51</v>
      </c>
      <c r="G101" s="121">
        <v>106.0</v>
      </c>
      <c r="H101" s="121" t="s">
        <v>51</v>
      </c>
      <c r="I101" s="121">
        <v>234.0</v>
      </c>
      <c r="J101" s="121">
        <v>1.0</v>
      </c>
      <c r="K101" s="121">
        <v>1.0</v>
      </c>
      <c r="L101" s="14">
        <v>2.0</v>
      </c>
      <c r="M101" s="121" t="b">
        <v>1</v>
      </c>
    </row>
    <row r="102">
      <c r="A102" s="14">
        <v>2.0</v>
      </c>
      <c r="B102" s="14">
        <v>3.0</v>
      </c>
      <c r="C102" s="13" t="s">
        <v>11</v>
      </c>
      <c r="D102" s="13" t="s">
        <v>51</v>
      </c>
      <c r="E102" s="14">
        <v>137.0</v>
      </c>
      <c r="F102" s="121" t="s">
        <v>53</v>
      </c>
      <c r="G102" s="121">
        <v>116.0</v>
      </c>
      <c r="H102" s="121" t="s">
        <v>53</v>
      </c>
      <c r="I102" s="121">
        <v>253.0</v>
      </c>
      <c r="J102" s="121">
        <v>1.0</v>
      </c>
      <c r="K102" s="121">
        <v>1.0</v>
      </c>
      <c r="L102" s="14">
        <v>2.0</v>
      </c>
      <c r="M102" s="121" t="b">
        <v>1</v>
      </c>
    </row>
    <row r="103">
      <c r="A103" s="14">
        <v>2.0</v>
      </c>
      <c r="B103" s="14">
        <v>3.0</v>
      </c>
      <c r="C103" s="13" t="s">
        <v>7</v>
      </c>
      <c r="D103" s="13" t="s">
        <v>51</v>
      </c>
      <c r="E103" s="14">
        <v>140.0</v>
      </c>
      <c r="F103" s="121" t="s">
        <v>53</v>
      </c>
      <c r="G103" s="121">
        <v>117.0</v>
      </c>
      <c r="H103" s="121" t="s">
        <v>53</v>
      </c>
      <c r="I103" s="121">
        <v>257.0</v>
      </c>
      <c r="J103" s="121">
        <v>1.0</v>
      </c>
      <c r="K103" s="121">
        <v>1.0</v>
      </c>
      <c r="L103" s="14">
        <v>2.0</v>
      </c>
      <c r="M103" s="121" t="b">
        <v>1</v>
      </c>
    </row>
    <row r="104">
      <c r="A104" s="14">
        <v>2.0</v>
      </c>
      <c r="B104" s="14">
        <v>3.0</v>
      </c>
      <c r="C104" s="13" t="s">
        <v>8</v>
      </c>
      <c r="D104" s="13" t="s">
        <v>51</v>
      </c>
      <c r="E104" s="14">
        <v>98.0</v>
      </c>
      <c r="F104" s="121" t="s">
        <v>53</v>
      </c>
      <c r="G104" s="121">
        <v>106.0</v>
      </c>
      <c r="H104" s="121" t="s">
        <v>53</v>
      </c>
      <c r="I104" s="121">
        <v>204.0</v>
      </c>
      <c r="J104" s="121">
        <v>1.0</v>
      </c>
      <c r="K104" s="121">
        <v>1.0</v>
      </c>
      <c r="L104" s="14">
        <v>2.0</v>
      </c>
      <c r="M104" s="121" t="b">
        <v>1</v>
      </c>
    </row>
    <row r="105">
      <c r="A105" s="14">
        <v>2.0</v>
      </c>
      <c r="B105" s="14">
        <v>3.0</v>
      </c>
      <c r="C105" s="13" t="s">
        <v>6</v>
      </c>
      <c r="D105" s="13" t="s">
        <v>51</v>
      </c>
      <c r="E105" s="14">
        <v>150.0</v>
      </c>
      <c r="F105" s="121" t="s">
        <v>53</v>
      </c>
      <c r="G105" s="121">
        <v>103.0</v>
      </c>
      <c r="H105" s="121" t="s">
        <v>53</v>
      </c>
      <c r="I105" s="121">
        <v>253.0</v>
      </c>
      <c r="J105" s="121">
        <v>1.0</v>
      </c>
      <c r="K105" s="121">
        <v>1.0</v>
      </c>
      <c r="L105" s="14">
        <v>2.0</v>
      </c>
      <c r="M105" s="121" t="b">
        <v>1</v>
      </c>
    </row>
    <row r="106">
      <c r="A106" s="14">
        <v>2.0</v>
      </c>
      <c r="B106" s="14">
        <v>3.0</v>
      </c>
      <c r="C106" s="13" t="s">
        <v>13</v>
      </c>
      <c r="D106" s="13" t="s">
        <v>53</v>
      </c>
      <c r="E106" s="14">
        <v>123.0</v>
      </c>
      <c r="F106" s="121" t="s">
        <v>51</v>
      </c>
      <c r="G106" s="121">
        <v>122.0</v>
      </c>
      <c r="H106" s="121" t="s">
        <v>51</v>
      </c>
      <c r="I106" s="121">
        <v>245.0</v>
      </c>
      <c r="J106" s="121">
        <v>1.0</v>
      </c>
      <c r="K106" s="121">
        <v>1.0</v>
      </c>
      <c r="L106" s="14">
        <v>2.0</v>
      </c>
      <c r="M106" s="121" t="b">
        <v>1</v>
      </c>
    </row>
    <row r="107">
      <c r="A107" s="14">
        <v>2.0</v>
      </c>
      <c r="B107" s="14">
        <v>3.0</v>
      </c>
      <c r="C107" s="13" t="s">
        <v>4</v>
      </c>
      <c r="D107" s="13" t="s">
        <v>53</v>
      </c>
      <c r="E107" s="14">
        <v>124.0</v>
      </c>
      <c r="F107" s="121" t="s">
        <v>51</v>
      </c>
      <c r="G107" s="121">
        <v>152.0</v>
      </c>
      <c r="H107" s="121" t="s">
        <v>51</v>
      </c>
      <c r="I107" s="121">
        <v>276.0</v>
      </c>
      <c r="J107" s="121">
        <v>1.0</v>
      </c>
      <c r="K107" s="121">
        <v>1.0</v>
      </c>
      <c r="L107" s="14">
        <v>2.0</v>
      </c>
      <c r="M107" s="121" t="b">
        <v>1</v>
      </c>
    </row>
    <row r="108">
      <c r="A108" s="14">
        <v>2.0</v>
      </c>
      <c r="B108" s="14">
        <v>3.0</v>
      </c>
      <c r="C108" s="13" t="s">
        <v>18</v>
      </c>
      <c r="D108" s="13" t="s">
        <v>53</v>
      </c>
      <c r="E108" s="14">
        <v>126.0</v>
      </c>
      <c r="F108" s="121" t="s">
        <v>51</v>
      </c>
      <c r="G108" s="121">
        <v>77.0</v>
      </c>
      <c r="H108" s="121" t="s">
        <v>51</v>
      </c>
      <c r="I108" s="121">
        <v>203.0</v>
      </c>
      <c r="J108" s="121">
        <v>1.0</v>
      </c>
      <c r="K108" s="121">
        <v>1.0</v>
      </c>
      <c r="L108" s="14">
        <v>2.0</v>
      </c>
      <c r="M108" s="121" t="b">
        <v>1</v>
      </c>
    </row>
    <row r="109">
      <c r="A109" s="14">
        <v>2.0</v>
      </c>
      <c r="B109" s="14">
        <v>3.0</v>
      </c>
      <c r="C109" s="13" t="s">
        <v>10</v>
      </c>
      <c r="D109" s="13" t="s">
        <v>53</v>
      </c>
      <c r="E109" s="14">
        <v>116.0</v>
      </c>
      <c r="F109" s="121" t="s">
        <v>51</v>
      </c>
      <c r="G109" s="121">
        <v>133.0</v>
      </c>
      <c r="H109" s="121" t="s">
        <v>51</v>
      </c>
      <c r="I109" s="121">
        <v>249.0</v>
      </c>
      <c r="J109" s="121">
        <v>1.0</v>
      </c>
      <c r="K109" s="121">
        <v>1.0</v>
      </c>
      <c r="L109" s="14">
        <v>2.0</v>
      </c>
      <c r="M109" s="121" t="b">
        <v>1</v>
      </c>
    </row>
    <row r="110">
      <c r="F110" s="122"/>
      <c r="G110" s="122"/>
      <c r="H110" s="122"/>
      <c r="I110" s="122"/>
      <c r="J110" s="122"/>
      <c r="K110" s="122"/>
      <c r="M110" s="122"/>
    </row>
    <row r="111">
      <c r="F111" s="122"/>
      <c r="G111" s="122"/>
      <c r="H111" s="122"/>
      <c r="I111" s="122"/>
      <c r="J111" s="122"/>
      <c r="K111" s="122"/>
      <c r="M111" s="122"/>
    </row>
    <row r="112">
      <c r="F112" s="122"/>
      <c r="G112" s="122"/>
      <c r="H112" s="122"/>
      <c r="I112" s="122"/>
      <c r="J112" s="122"/>
      <c r="K112" s="122"/>
      <c r="M112" s="122"/>
    </row>
    <row r="113">
      <c r="F113" s="122"/>
      <c r="G113" s="122"/>
      <c r="H113" s="122"/>
      <c r="I113" s="122"/>
      <c r="J113" s="122"/>
      <c r="K113" s="122"/>
      <c r="M113" s="122"/>
    </row>
    <row r="114">
      <c r="F114" s="122"/>
      <c r="G114" s="122"/>
      <c r="H114" s="122"/>
      <c r="I114" s="122"/>
      <c r="J114" s="122"/>
      <c r="K114" s="122"/>
      <c r="M114" s="122"/>
    </row>
    <row r="115">
      <c r="F115" s="122"/>
      <c r="G115" s="122"/>
      <c r="H115" s="122"/>
      <c r="I115" s="122"/>
      <c r="J115" s="122"/>
      <c r="K115" s="122"/>
      <c r="M115" s="122"/>
    </row>
    <row r="116">
      <c r="F116" s="122"/>
      <c r="G116" s="122"/>
      <c r="H116" s="122"/>
      <c r="I116" s="122"/>
      <c r="J116" s="122"/>
      <c r="K116" s="122"/>
      <c r="M116" s="122"/>
    </row>
    <row r="117">
      <c r="F117" s="122"/>
      <c r="G117" s="122"/>
      <c r="H117" s="122"/>
      <c r="I117" s="122"/>
      <c r="J117" s="122"/>
      <c r="K117" s="122"/>
      <c r="M117" s="122"/>
    </row>
    <row r="118">
      <c r="F118" s="122"/>
      <c r="G118" s="122"/>
      <c r="H118" s="122"/>
      <c r="I118" s="122"/>
      <c r="J118" s="122"/>
      <c r="K118" s="122"/>
      <c r="M118" s="122"/>
    </row>
    <row r="119">
      <c r="F119" s="122"/>
      <c r="G119" s="122"/>
      <c r="H119" s="122"/>
      <c r="I119" s="122"/>
      <c r="J119" s="122"/>
      <c r="K119" s="122"/>
      <c r="M119" s="122"/>
    </row>
    <row r="120">
      <c r="F120" s="122"/>
      <c r="G120" s="122"/>
      <c r="H120" s="122"/>
      <c r="I120" s="122"/>
      <c r="J120" s="122"/>
      <c r="K120" s="122"/>
      <c r="M120" s="122"/>
    </row>
    <row r="121">
      <c r="F121" s="122"/>
      <c r="G121" s="122"/>
      <c r="H121" s="122"/>
      <c r="I121" s="122"/>
      <c r="J121" s="122"/>
      <c r="K121" s="122"/>
      <c r="M121" s="122"/>
    </row>
    <row r="122">
      <c r="F122" s="122"/>
      <c r="G122" s="122"/>
      <c r="H122" s="122"/>
      <c r="I122" s="122"/>
      <c r="J122" s="122"/>
      <c r="K122" s="122"/>
      <c r="M122" s="122"/>
    </row>
    <row r="123">
      <c r="F123" s="122"/>
      <c r="G123" s="122"/>
      <c r="H123" s="122"/>
      <c r="I123" s="122"/>
      <c r="J123" s="122"/>
      <c r="K123" s="122"/>
      <c r="M123" s="122"/>
    </row>
    <row r="124">
      <c r="F124" s="122"/>
      <c r="G124" s="122"/>
      <c r="H124" s="122"/>
      <c r="I124" s="122"/>
      <c r="J124" s="122"/>
      <c r="K124" s="122"/>
      <c r="M124" s="122"/>
    </row>
    <row r="125">
      <c r="F125" s="122"/>
      <c r="G125" s="122"/>
      <c r="H125" s="122"/>
      <c r="I125" s="122"/>
      <c r="J125" s="122"/>
      <c r="K125" s="122"/>
      <c r="M125" s="122"/>
    </row>
    <row r="126">
      <c r="F126" s="122"/>
      <c r="G126" s="122"/>
      <c r="H126" s="122"/>
      <c r="I126" s="122"/>
      <c r="J126" s="122"/>
      <c r="K126" s="122"/>
      <c r="M126" s="122"/>
    </row>
    <row r="127">
      <c r="F127" s="122"/>
      <c r="G127" s="122"/>
      <c r="H127" s="122"/>
      <c r="I127" s="122"/>
      <c r="J127" s="122"/>
      <c r="K127" s="122"/>
      <c r="M127" s="122"/>
    </row>
    <row r="128">
      <c r="F128" s="122"/>
      <c r="G128" s="122"/>
      <c r="H128" s="122"/>
      <c r="I128" s="122"/>
      <c r="J128" s="122"/>
      <c r="K128" s="122"/>
      <c r="M128" s="122"/>
    </row>
    <row r="129">
      <c r="F129" s="122"/>
      <c r="G129" s="122"/>
      <c r="H129" s="122"/>
      <c r="I129" s="122"/>
      <c r="J129" s="122"/>
      <c r="K129" s="122"/>
      <c r="M129" s="122"/>
    </row>
    <row r="130">
      <c r="F130" s="122"/>
      <c r="G130" s="122"/>
      <c r="H130" s="122"/>
      <c r="I130" s="122"/>
      <c r="J130" s="122"/>
      <c r="K130" s="122"/>
      <c r="M130" s="122"/>
    </row>
    <row r="131">
      <c r="F131" s="122"/>
      <c r="G131" s="122"/>
      <c r="H131" s="122"/>
      <c r="I131" s="122"/>
      <c r="J131" s="122"/>
      <c r="K131" s="122"/>
      <c r="M131" s="122"/>
    </row>
    <row r="132">
      <c r="F132" s="122"/>
      <c r="G132" s="122"/>
      <c r="H132" s="122"/>
      <c r="I132" s="122"/>
      <c r="J132" s="122"/>
      <c r="K132" s="122"/>
      <c r="M132" s="122"/>
    </row>
    <row r="133">
      <c r="F133" s="122"/>
      <c r="G133" s="122"/>
      <c r="H133" s="122"/>
      <c r="I133" s="122"/>
      <c r="J133" s="122"/>
      <c r="K133" s="122"/>
      <c r="M133" s="122"/>
    </row>
    <row r="134">
      <c r="F134" s="122"/>
      <c r="G134" s="122"/>
      <c r="H134" s="122"/>
      <c r="I134" s="122"/>
      <c r="J134" s="122"/>
      <c r="K134" s="122"/>
      <c r="M134" s="122"/>
    </row>
    <row r="135">
      <c r="F135" s="122"/>
      <c r="G135" s="122"/>
      <c r="H135" s="122"/>
      <c r="I135" s="122"/>
      <c r="J135" s="122"/>
      <c r="K135" s="122"/>
      <c r="M135" s="122"/>
    </row>
    <row r="136">
      <c r="F136" s="122"/>
      <c r="G136" s="122"/>
      <c r="H136" s="122"/>
      <c r="I136" s="122"/>
      <c r="J136" s="122"/>
      <c r="K136" s="122"/>
      <c r="M136" s="122"/>
    </row>
    <row r="137">
      <c r="F137" s="122"/>
      <c r="G137" s="122"/>
      <c r="H137" s="122"/>
      <c r="I137" s="122"/>
      <c r="J137" s="122"/>
      <c r="K137" s="122"/>
      <c r="M137" s="122"/>
    </row>
    <row r="138">
      <c r="F138" s="122"/>
      <c r="G138" s="122"/>
      <c r="H138" s="122"/>
      <c r="I138" s="122"/>
      <c r="J138" s="122"/>
      <c r="K138" s="122"/>
      <c r="M138" s="122"/>
    </row>
    <row r="139">
      <c r="F139" s="122"/>
      <c r="G139" s="122"/>
      <c r="H139" s="122"/>
      <c r="I139" s="122"/>
      <c r="J139" s="122"/>
      <c r="K139" s="122"/>
      <c r="M139" s="122"/>
    </row>
    <row r="140">
      <c r="F140" s="122"/>
      <c r="G140" s="122"/>
      <c r="H140" s="122"/>
      <c r="I140" s="122"/>
      <c r="J140" s="122"/>
      <c r="K140" s="122"/>
      <c r="M140" s="122"/>
    </row>
    <row r="141">
      <c r="F141" s="122"/>
      <c r="G141" s="122"/>
      <c r="H141" s="122"/>
      <c r="I141" s="122"/>
      <c r="J141" s="122"/>
      <c r="K141" s="122"/>
      <c r="M141" s="122"/>
    </row>
    <row r="142">
      <c r="F142" s="122"/>
      <c r="G142" s="122"/>
      <c r="H142" s="122"/>
      <c r="I142" s="122"/>
      <c r="J142" s="122"/>
      <c r="K142" s="122"/>
      <c r="M142" s="122"/>
    </row>
    <row r="143">
      <c r="F143" s="122"/>
      <c r="G143" s="122"/>
      <c r="H143" s="122"/>
      <c r="I143" s="122"/>
      <c r="J143" s="122"/>
      <c r="K143" s="122"/>
      <c r="M143" s="122"/>
    </row>
    <row r="144">
      <c r="F144" s="122"/>
      <c r="G144" s="122"/>
      <c r="H144" s="122"/>
      <c r="I144" s="122"/>
      <c r="J144" s="122"/>
      <c r="K144" s="122"/>
      <c r="M144" s="122"/>
    </row>
    <row r="145">
      <c r="F145" s="122"/>
      <c r="G145" s="122"/>
      <c r="H145" s="122"/>
      <c r="I145" s="122"/>
      <c r="J145" s="122"/>
      <c r="K145" s="122"/>
      <c r="M145" s="122"/>
    </row>
    <row r="146">
      <c r="F146" s="122"/>
      <c r="G146" s="122"/>
      <c r="H146" s="122"/>
      <c r="I146" s="122"/>
      <c r="J146" s="122"/>
      <c r="K146" s="122"/>
      <c r="M146" s="122"/>
    </row>
    <row r="147">
      <c r="F147" s="122"/>
      <c r="G147" s="122"/>
      <c r="H147" s="122"/>
      <c r="I147" s="122"/>
      <c r="J147" s="122"/>
      <c r="K147" s="122"/>
      <c r="M147" s="122"/>
    </row>
    <row r="148">
      <c r="F148" s="122"/>
      <c r="G148" s="122"/>
      <c r="H148" s="122"/>
      <c r="I148" s="122"/>
      <c r="J148" s="122"/>
      <c r="K148" s="122"/>
      <c r="M148" s="122"/>
    </row>
    <row r="149">
      <c r="F149" s="122"/>
      <c r="G149" s="122"/>
      <c r="H149" s="122"/>
      <c r="I149" s="122"/>
      <c r="J149" s="122"/>
      <c r="K149" s="122"/>
      <c r="M149" s="122"/>
    </row>
    <row r="150">
      <c r="F150" s="122"/>
      <c r="G150" s="122"/>
      <c r="H150" s="122"/>
      <c r="I150" s="122"/>
      <c r="J150" s="122"/>
      <c r="K150" s="122"/>
      <c r="M150" s="122"/>
    </row>
    <row r="151">
      <c r="F151" s="122"/>
      <c r="G151" s="122"/>
      <c r="H151" s="122"/>
      <c r="I151" s="122"/>
      <c r="J151" s="122"/>
      <c r="K151" s="122"/>
      <c r="M151" s="122"/>
    </row>
    <row r="152">
      <c r="F152" s="122"/>
      <c r="G152" s="122"/>
      <c r="H152" s="122"/>
      <c r="I152" s="122"/>
      <c r="J152" s="122"/>
      <c r="K152" s="122"/>
      <c r="M152" s="122"/>
    </row>
    <row r="153">
      <c r="F153" s="122"/>
      <c r="G153" s="122"/>
      <c r="H153" s="122"/>
      <c r="I153" s="122"/>
      <c r="J153" s="122"/>
      <c r="K153" s="122"/>
      <c r="M153" s="122"/>
    </row>
    <row r="154">
      <c r="F154" s="122"/>
      <c r="G154" s="122"/>
      <c r="H154" s="122"/>
      <c r="I154" s="122"/>
      <c r="J154" s="122"/>
      <c r="K154" s="122"/>
      <c r="M154" s="122"/>
    </row>
    <row r="155">
      <c r="F155" s="122"/>
      <c r="G155" s="122"/>
      <c r="H155" s="122"/>
      <c r="I155" s="122"/>
      <c r="J155" s="122"/>
      <c r="K155" s="122"/>
      <c r="M155" s="122"/>
    </row>
    <row r="156">
      <c r="F156" s="122"/>
      <c r="G156" s="122"/>
      <c r="H156" s="122"/>
      <c r="I156" s="122"/>
      <c r="J156" s="122"/>
      <c r="K156" s="122"/>
      <c r="M156" s="122"/>
    </row>
    <row r="157">
      <c r="F157" s="122"/>
      <c r="G157" s="122"/>
      <c r="H157" s="122"/>
      <c r="I157" s="122"/>
      <c r="J157" s="122"/>
      <c r="K157" s="122"/>
      <c r="M157" s="122"/>
    </row>
    <row r="158">
      <c r="F158" s="122"/>
      <c r="G158" s="122"/>
      <c r="H158" s="122"/>
      <c r="I158" s="122"/>
      <c r="J158" s="122"/>
      <c r="K158" s="122"/>
      <c r="M158" s="122"/>
    </row>
    <row r="159">
      <c r="F159" s="122"/>
      <c r="G159" s="122"/>
      <c r="H159" s="122"/>
      <c r="I159" s="122"/>
      <c r="J159" s="122"/>
      <c r="K159" s="122"/>
      <c r="M159" s="122"/>
    </row>
    <row r="160">
      <c r="F160" s="122"/>
      <c r="G160" s="122"/>
      <c r="H160" s="122"/>
      <c r="I160" s="122"/>
      <c r="J160" s="122"/>
      <c r="K160" s="122"/>
      <c r="M160" s="122"/>
    </row>
    <row r="161">
      <c r="F161" s="122"/>
      <c r="G161" s="122"/>
      <c r="H161" s="122"/>
      <c r="I161" s="122"/>
      <c r="J161" s="122"/>
      <c r="K161" s="122"/>
      <c r="M161" s="122"/>
    </row>
    <row r="162">
      <c r="F162" s="122"/>
      <c r="G162" s="122"/>
      <c r="H162" s="122"/>
      <c r="I162" s="122"/>
      <c r="J162" s="122"/>
      <c r="K162" s="122"/>
      <c r="M162" s="122"/>
    </row>
    <row r="163">
      <c r="F163" s="122"/>
      <c r="G163" s="122"/>
      <c r="H163" s="122"/>
      <c r="I163" s="122"/>
      <c r="J163" s="122"/>
      <c r="K163" s="122"/>
      <c r="M163" s="122"/>
    </row>
    <row r="164">
      <c r="F164" s="122"/>
      <c r="G164" s="122"/>
      <c r="H164" s="122"/>
      <c r="I164" s="122"/>
      <c r="J164" s="122"/>
      <c r="K164" s="122"/>
      <c r="M164" s="122"/>
    </row>
    <row r="165">
      <c r="F165" s="122"/>
      <c r="G165" s="122"/>
      <c r="H165" s="122"/>
      <c r="I165" s="122"/>
      <c r="J165" s="122"/>
      <c r="K165" s="122"/>
      <c r="M165" s="122"/>
    </row>
    <row r="166">
      <c r="F166" s="122"/>
      <c r="G166" s="122"/>
      <c r="H166" s="122"/>
      <c r="I166" s="122"/>
      <c r="J166" s="122"/>
      <c r="K166" s="122"/>
      <c r="M166" s="122"/>
    </row>
    <row r="167">
      <c r="F167" s="122"/>
      <c r="G167" s="122"/>
      <c r="H167" s="122"/>
      <c r="I167" s="122"/>
      <c r="J167" s="122"/>
      <c r="K167" s="122"/>
      <c r="M167" s="122"/>
    </row>
    <row r="168">
      <c r="F168" s="122"/>
      <c r="G168" s="122"/>
      <c r="H168" s="122"/>
      <c r="I168" s="122"/>
      <c r="J168" s="122"/>
      <c r="K168" s="122"/>
      <c r="M168" s="122"/>
    </row>
    <row r="169">
      <c r="F169" s="122"/>
      <c r="G169" s="122"/>
      <c r="H169" s="122"/>
      <c r="I169" s="122"/>
      <c r="J169" s="122"/>
      <c r="K169" s="122"/>
      <c r="M169" s="122"/>
    </row>
    <row r="170">
      <c r="F170" s="122"/>
      <c r="G170" s="122"/>
      <c r="H170" s="122"/>
      <c r="I170" s="122"/>
      <c r="J170" s="122"/>
      <c r="K170" s="122"/>
      <c r="M170" s="122"/>
    </row>
    <row r="171">
      <c r="F171" s="122"/>
      <c r="G171" s="122"/>
      <c r="H171" s="122"/>
      <c r="I171" s="122"/>
      <c r="J171" s="122"/>
      <c r="K171" s="122"/>
      <c r="M171" s="122"/>
    </row>
    <row r="172">
      <c r="F172" s="122"/>
      <c r="G172" s="122"/>
      <c r="H172" s="122"/>
      <c r="I172" s="122"/>
      <c r="J172" s="122"/>
      <c r="K172" s="122"/>
      <c r="M172" s="122"/>
    </row>
    <row r="173">
      <c r="F173" s="122"/>
      <c r="G173" s="122"/>
      <c r="H173" s="122"/>
      <c r="I173" s="122"/>
      <c r="J173" s="122"/>
      <c r="K173" s="122"/>
      <c r="M173" s="122"/>
    </row>
    <row r="174">
      <c r="F174" s="122"/>
      <c r="G174" s="122"/>
      <c r="H174" s="122"/>
      <c r="I174" s="122"/>
      <c r="J174" s="122"/>
      <c r="K174" s="122"/>
      <c r="M174" s="122"/>
    </row>
    <row r="175">
      <c r="F175" s="122"/>
      <c r="G175" s="122"/>
      <c r="H175" s="122"/>
      <c r="I175" s="122"/>
      <c r="J175" s="122"/>
      <c r="K175" s="122"/>
      <c r="M175" s="122"/>
    </row>
    <row r="176">
      <c r="F176" s="122"/>
      <c r="G176" s="122"/>
      <c r="H176" s="122"/>
      <c r="I176" s="122"/>
      <c r="J176" s="122"/>
      <c r="K176" s="122"/>
      <c r="M176" s="122"/>
    </row>
    <row r="177">
      <c r="F177" s="122"/>
      <c r="G177" s="122"/>
      <c r="H177" s="122"/>
      <c r="I177" s="122"/>
      <c r="J177" s="122"/>
      <c r="K177" s="122"/>
      <c r="M177" s="122"/>
    </row>
    <row r="178">
      <c r="F178" s="122"/>
      <c r="G178" s="122"/>
      <c r="H178" s="122"/>
      <c r="I178" s="122"/>
      <c r="J178" s="122"/>
      <c r="K178" s="122"/>
      <c r="M178" s="122"/>
    </row>
    <row r="179">
      <c r="F179" s="122"/>
      <c r="G179" s="122"/>
      <c r="H179" s="122"/>
      <c r="I179" s="122"/>
      <c r="J179" s="122"/>
      <c r="K179" s="122"/>
      <c r="M179" s="122"/>
    </row>
    <row r="180">
      <c r="F180" s="122"/>
      <c r="G180" s="122"/>
      <c r="H180" s="122"/>
      <c r="I180" s="122"/>
      <c r="J180" s="122"/>
      <c r="K180" s="122"/>
      <c r="M180" s="122"/>
    </row>
    <row r="181">
      <c r="F181" s="122"/>
      <c r="G181" s="122"/>
      <c r="H181" s="122"/>
      <c r="I181" s="122"/>
      <c r="J181" s="122"/>
      <c r="K181" s="122"/>
      <c r="M181" s="122"/>
    </row>
    <row r="182">
      <c r="F182" s="122"/>
      <c r="G182" s="122"/>
      <c r="H182" s="122"/>
      <c r="I182" s="122"/>
      <c r="J182" s="122"/>
      <c r="K182" s="122"/>
      <c r="M182" s="122"/>
    </row>
    <row r="183">
      <c r="F183" s="122"/>
      <c r="G183" s="122"/>
      <c r="H183" s="122"/>
      <c r="I183" s="122"/>
      <c r="J183" s="122"/>
      <c r="K183" s="122"/>
      <c r="M183" s="122"/>
    </row>
    <row r="184">
      <c r="F184" s="122"/>
      <c r="G184" s="122"/>
      <c r="H184" s="122"/>
      <c r="I184" s="122"/>
      <c r="J184" s="122"/>
      <c r="K184" s="122"/>
      <c r="M184" s="122"/>
    </row>
    <row r="185">
      <c r="F185" s="122"/>
      <c r="G185" s="122"/>
      <c r="H185" s="122"/>
      <c r="I185" s="122"/>
      <c r="J185" s="122"/>
      <c r="K185" s="122"/>
      <c r="M185" s="122"/>
    </row>
    <row r="186">
      <c r="F186" s="122"/>
      <c r="G186" s="122"/>
      <c r="H186" s="122"/>
      <c r="I186" s="122"/>
      <c r="J186" s="122"/>
      <c r="K186" s="122"/>
      <c r="M186" s="122"/>
    </row>
    <row r="187">
      <c r="F187" s="122"/>
      <c r="G187" s="122"/>
      <c r="H187" s="122"/>
      <c r="I187" s="122"/>
      <c r="J187" s="122"/>
      <c r="K187" s="122"/>
      <c r="M187" s="122"/>
    </row>
    <row r="188">
      <c r="F188" s="122"/>
      <c r="G188" s="122"/>
      <c r="H188" s="122"/>
      <c r="I188" s="122"/>
      <c r="J188" s="122"/>
      <c r="K188" s="122"/>
      <c r="M188" s="122"/>
    </row>
    <row r="189">
      <c r="F189" s="122"/>
      <c r="G189" s="122"/>
      <c r="H189" s="122"/>
      <c r="I189" s="122"/>
      <c r="J189" s="122"/>
      <c r="K189" s="122"/>
      <c r="M189" s="122"/>
    </row>
    <row r="190">
      <c r="F190" s="122"/>
      <c r="G190" s="122"/>
      <c r="H190" s="122"/>
      <c r="I190" s="122"/>
      <c r="J190" s="122"/>
      <c r="K190" s="122"/>
      <c r="M190" s="122"/>
    </row>
    <row r="191">
      <c r="F191" s="122"/>
      <c r="G191" s="122"/>
      <c r="H191" s="122"/>
      <c r="I191" s="122"/>
      <c r="J191" s="122"/>
      <c r="K191" s="122"/>
      <c r="M191" s="122"/>
    </row>
    <row r="192">
      <c r="F192" s="122"/>
      <c r="G192" s="122"/>
      <c r="H192" s="122"/>
      <c r="I192" s="122"/>
      <c r="J192" s="122"/>
      <c r="K192" s="122"/>
      <c r="M192" s="122"/>
    </row>
    <row r="193">
      <c r="F193" s="122"/>
      <c r="G193" s="122"/>
      <c r="H193" s="122"/>
      <c r="I193" s="122"/>
      <c r="J193" s="122"/>
      <c r="K193" s="122"/>
      <c r="M193" s="122"/>
    </row>
    <row r="194">
      <c r="F194" s="122"/>
      <c r="G194" s="122"/>
      <c r="H194" s="122"/>
      <c r="I194" s="122"/>
      <c r="J194" s="122"/>
      <c r="K194" s="122"/>
      <c r="M194" s="122"/>
    </row>
    <row r="195">
      <c r="F195" s="122"/>
      <c r="G195" s="122"/>
      <c r="H195" s="122"/>
      <c r="I195" s="122"/>
      <c r="J195" s="122"/>
      <c r="K195" s="122"/>
      <c r="M195" s="122"/>
    </row>
    <row r="196">
      <c r="F196" s="122"/>
      <c r="G196" s="122"/>
      <c r="H196" s="122"/>
      <c r="I196" s="122"/>
      <c r="J196" s="122"/>
      <c r="K196" s="122"/>
      <c r="M196" s="122"/>
    </row>
    <row r="197">
      <c r="F197" s="122"/>
      <c r="G197" s="122"/>
      <c r="H197" s="122"/>
      <c r="I197" s="122"/>
      <c r="J197" s="122"/>
      <c r="K197" s="122"/>
      <c r="M197" s="122"/>
    </row>
    <row r="198">
      <c r="F198" s="122"/>
      <c r="G198" s="122"/>
      <c r="H198" s="122"/>
      <c r="I198" s="122"/>
      <c r="J198" s="122"/>
      <c r="K198" s="122"/>
      <c r="M198" s="122"/>
    </row>
    <row r="199">
      <c r="F199" s="122"/>
      <c r="G199" s="122"/>
      <c r="H199" s="122"/>
      <c r="I199" s="122"/>
      <c r="J199" s="122"/>
      <c r="K199" s="122"/>
      <c r="M199" s="122"/>
    </row>
    <row r="200">
      <c r="F200" s="122"/>
      <c r="G200" s="122"/>
      <c r="H200" s="122"/>
      <c r="I200" s="122"/>
      <c r="J200" s="122"/>
      <c r="K200" s="122"/>
      <c r="M200" s="122"/>
    </row>
    <row r="201">
      <c r="F201" s="122"/>
      <c r="G201" s="122"/>
      <c r="H201" s="122"/>
      <c r="I201" s="122"/>
      <c r="J201" s="122"/>
      <c r="K201" s="122"/>
      <c r="M201" s="122"/>
    </row>
    <row r="202">
      <c r="F202" s="122"/>
      <c r="G202" s="122"/>
      <c r="H202" s="122"/>
      <c r="I202" s="122"/>
      <c r="J202" s="122"/>
      <c r="K202" s="122"/>
      <c r="M202" s="122"/>
    </row>
    <row r="203">
      <c r="F203" s="122"/>
      <c r="G203" s="122"/>
      <c r="H203" s="122"/>
      <c r="I203" s="122"/>
      <c r="J203" s="122"/>
      <c r="K203" s="122"/>
      <c r="M203" s="122"/>
    </row>
    <row r="204">
      <c r="F204" s="122"/>
      <c r="G204" s="122"/>
      <c r="H204" s="122"/>
      <c r="I204" s="122"/>
      <c r="J204" s="122"/>
      <c r="K204" s="122"/>
      <c r="M204" s="122"/>
    </row>
    <row r="205">
      <c r="F205" s="122"/>
      <c r="G205" s="122"/>
      <c r="H205" s="122"/>
      <c r="I205" s="122"/>
      <c r="J205" s="122"/>
      <c r="K205" s="122"/>
      <c r="M205" s="122"/>
    </row>
    <row r="206">
      <c r="F206" s="122"/>
      <c r="G206" s="122"/>
      <c r="H206" s="122"/>
      <c r="I206" s="122"/>
      <c r="J206" s="122"/>
      <c r="K206" s="122"/>
      <c r="M206" s="122"/>
    </row>
    <row r="207">
      <c r="F207" s="122"/>
      <c r="G207" s="122"/>
      <c r="H207" s="122"/>
      <c r="I207" s="122"/>
      <c r="J207" s="122"/>
      <c r="K207" s="122"/>
      <c r="M207" s="122"/>
    </row>
    <row r="208">
      <c r="F208" s="122"/>
      <c r="G208" s="122"/>
      <c r="H208" s="122"/>
      <c r="I208" s="122"/>
      <c r="J208" s="122"/>
      <c r="K208" s="122"/>
      <c r="M208" s="122"/>
    </row>
    <row r="209">
      <c r="F209" s="122"/>
      <c r="G209" s="122"/>
      <c r="H209" s="122"/>
      <c r="I209" s="122"/>
      <c r="J209" s="122"/>
      <c r="K209" s="122"/>
      <c r="M209" s="122"/>
    </row>
    <row r="210">
      <c r="F210" s="122"/>
      <c r="G210" s="122"/>
      <c r="H210" s="122"/>
      <c r="I210" s="122"/>
      <c r="J210" s="122"/>
      <c r="K210" s="122"/>
      <c r="M210" s="122"/>
    </row>
    <row r="211">
      <c r="F211" s="122"/>
      <c r="G211" s="122"/>
      <c r="H211" s="122"/>
      <c r="I211" s="122"/>
      <c r="J211" s="122"/>
      <c r="K211" s="122"/>
      <c r="M211" s="122"/>
    </row>
    <row r="212">
      <c r="F212" s="122"/>
      <c r="G212" s="122"/>
      <c r="H212" s="122"/>
      <c r="I212" s="122"/>
      <c r="J212" s="122"/>
      <c r="K212" s="122"/>
      <c r="M212" s="122"/>
    </row>
    <row r="213">
      <c r="F213" s="122"/>
      <c r="G213" s="122"/>
      <c r="H213" s="122"/>
      <c r="I213" s="122"/>
      <c r="J213" s="122"/>
      <c r="K213" s="122"/>
      <c r="M213" s="122"/>
    </row>
    <row r="214">
      <c r="F214" s="122"/>
      <c r="G214" s="122"/>
      <c r="H214" s="122"/>
      <c r="I214" s="122"/>
      <c r="J214" s="122"/>
      <c r="K214" s="122"/>
      <c r="M214" s="122"/>
    </row>
    <row r="215">
      <c r="F215" s="122"/>
      <c r="G215" s="122"/>
      <c r="H215" s="122"/>
      <c r="I215" s="122"/>
      <c r="J215" s="122"/>
      <c r="K215" s="122"/>
      <c r="M215" s="122"/>
    </row>
    <row r="216">
      <c r="F216" s="122"/>
      <c r="G216" s="122"/>
      <c r="H216" s="122"/>
      <c r="I216" s="122"/>
      <c r="J216" s="122"/>
      <c r="K216" s="122"/>
      <c r="M216" s="122"/>
    </row>
    <row r="217">
      <c r="F217" s="122"/>
      <c r="G217" s="122"/>
      <c r="H217" s="122"/>
      <c r="I217" s="122"/>
      <c r="J217" s="122"/>
      <c r="K217" s="122"/>
      <c r="M217" s="122"/>
    </row>
    <row r="218">
      <c r="F218" s="122"/>
      <c r="G218" s="122"/>
      <c r="H218" s="122"/>
      <c r="I218" s="122"/>
      <c r="J218" s="122"/>
      <c r="K218" s="122"/>
      <c r="M218" s="122"/>
    </row>
    <row r="219">
      <c r="F219" s="122"/>
      <c r="G219" s="122"/>
      <c r="H219" s="122"/>
      <c r="I219" s="122"/>
      <c r="J219" s="122"/>
      <c r="K219" s="122"/>
      <c r="M219" s="122"/>
    </row>
    <row r="220">
      <c r="F220" s="122"/>
      <c r="G220" s="122"/>
      <c r="H220" s="122"/>
      <c r="I220" s="122"/>
      <c r="J220" s="122"/>
      <c r="K220" s="122"/>
      <c r="M220" s="122"/>
    </row>
    <row r="221">
      <c r="F221" s="122"/>
      <c r="G221" s="122"/>
      <c r="H221" s="122"/>
      <c r="I221" s="122"/>
      <c r="J221" s="122"/>
      <c r="K221" s="122"/>
      <c r="M221" s="122"/>
    </row>
    <row r="222">
      <c r="F222" s="122"/>
      <c r="G222" s="122"/>
      <c r="H222" s="122"/>
      <c r="I222" s="122"/>
      <c r="J222" s="122"/>
      <c r="K222" s="122"/>
      <c r="M222" s="122"/>
    </row>
    <row r="223">
      <c r="F223" s="122"/>
      <c r="G223" s="122"/>
      <c r="H223" s="122"/>
      <c r="I223" s="122"/>
      <c r="J223" s="122"/>
      <c r="K223" s="122"/>
      <c r="M223" s="122"/>
    </row>
    <row r="224">
      <c r="F224" s="122"/>
      <c r="G224" s="122"/>
      <c r="H224" s="122"/>
      <c r="I224" s="122"/>
      <c r="J224" s="122"/>
      <c r="K224" s="122"/>
      <c r="M224" s="122"/>
    </row>
    <row r="225">
      <c r="F225" s="122"/>
      <c r="G225" s="122"/>
      <c r="H225" s="122"/>
      <c r="I225" s="122"/>
      <c r="J225" s="122"/>
      <c r="K225" s="122"/>
      <c r="M225" s="122"/>
    </row>
    <row r="226">
      <c r="F226" s="122"/>
      <c r="G226" s="122"/>
      <c r="H226" s="122"/>
      <c r="I226" s="122"/>
      <c r="J226" s="122"/>
      <c r="K226" s="122"/>
      <c r="M226" s="122"/>
    </row>
    <row r="227">
      <c r="F227" s="122"/>
      <c r="G227" s="122"/>
      <c r="H227" s="122"/>
      <c r="I227" s="122"/>
      <c r="J227" s="122"/>
      <c r="K227" s="122"/>
      <c r="M227" s="122"/>
    </row>
    <row r="228">
      <c r="F228" s="122"/>
      <c r="G228" s="122"/>
      <c r="H228" s="122"/>
      <c r="I228" s="122"/>
      <c r="J228" s="122"/>
      <c r="K228" s="122"/>
      <c r="M228" s="122"/>
    </row>
    <row r="229">
      <c r="F229" s="122"/>
      <c r="G229" s="122"/>
      <c r="H229" s="122"/>
      <c r="I229" s="122"/>
      <c r="J229" s="122"/>
      <c r="K229" s="122"/>
      <c r="M229" s="122"/>
    </row>
    <row r="230">
      <c r="F230" s="122"/>
      <c r="G230" s="122"/>
      <c r="H230" s="122"/>
      <c r="I230" s="122"/>
      <c r="J230" s="122"/>
      <c r="K230" s="122"/>
      <c r="M230" s="122"/>
    </row>
    <row r="231">
      <c r="F231" s="122"/>
      <c r="G231" s="122"/>
      <c r="H231" s="122"/>
      <c r="I231" s="122"/>
      <c r="J231" s="122"/>
      <c r="K231" s="122"/>
      <c r="M231" s="122"/>
    </row>
    <row r="232">
      <c r="F232" s="122"/>
      <c r="G232" s="122"/>
      <c r="H232" s="122"/>
      <c r="I232" s="122"/>
      <c r="J232" s="122"/>
      <c r="K232" s="122"/>
      <c r="M232" s="122"/>
    </row>
    <row r="233">
      <c r="F233" s="122"/>
      <c r="G233" s="122"/>
      <c r="H233" s="122"/>
      <c r="I233" s="122"/>
      <c r="J233" s="122"/>
      <c r="K233" s="122"/>
      <c r="M233" s="122"/>
    </row>
    <row r="234">
      <c r="F234" s="122"/>
      <c r="G234" s="122"/>
      <c r="H234" s="122"/>
      <c r="I234" s="122"/>
      <c r="J234" s="122"/>
      <c r="K234" s="122"/>
      <c r="M234" s="122"/>
    </row>
    <row r="235">
      <c r="F235" s="122"/>
      <c r="G235" s="122"/>
      <c r="H235" s="122"/>
      <c r="I235" s="122"/>
      <c r="J235" s="122"/>
      <c r="K235" s="122"/>
      <c r="M235" s="122"/>
    </row>
    <row r="236">
      <c r="F236" s="122"/>
      <c r="G236" s="122"/>
      <c r="H236" s="122"/>
      <c r="I236" s="122"/>
      <c r="J236" s="122"/>
      <c r="K236" s="122"/>
      <c r="M236" s="122"/>
    </row>
    <row r="237">
      <c r="F237" s="122"/>
      <c r="G237" s="122"/>
      <c r="H237" s="122"/>
      <c r="I237" s="122"/>
      <c r="J237" s="122"/>
      <c r="K237" s="122"/>
      <c r="M237" s="122"/>
    </row>
    <row r="238">
      <c r="F238" s="122"/>
      <c r="G238" s="122"/>
      <c r="H238" s="122"/>
      <c r="I238" s="122"/>
      <c r="J238" s="122"/>
      <c r="K238" s="122"/>
      <c r="M238" s="122"/>
    </row>
    <row r="239">
      <c r="F239" s="122"/>
      <c r="G239" s="122"/>
      <c r="H239" s="122"/>
      <c r="I239" s="122"/>
      <c r="J239" s="122"/>
      <c r="K239" s="122"/>
      <c r="M239" s="122"/>
    </row>
    <row r="240">
      <c r="F240" s="122"/>
      <c r="G240" s="122"/>
      <c r="H240" s="122"/>
      <c r="I240" s="122"/>
      <c r="J240" s="122"/>
      <c r="K240" s="122"/>
      <c r="M240" s="122"/>
    </row>
    <row r="241">
      <c r="F241" s="122"/>
      <c r="G241" s="122"/>
      <c r="H241" s="122"/>
      <c r="I241" s="122"/>
      <c r="J241" s="122"/>
      <c r="K241" s="122"/>
      <c r="M241" s="122"/>
    </row>
    <row r="242">
      <c r="F242" s="122"/>
      <c r="G242" s="122"/>
      <c r="H242" s="122"/>
      <c r="I242" s="122"/>
      <c r="J242" s="122"/>
      <c r="K242" s="122"/>
      <c r="M242" s="122"/>
    </row>
    <row r="243">
      <c r="F243" s="122"/>
      <c r="G243" s="122"/>
      <c r="H243" s="122"/>
      <c r="I243" s="122"/>
      <c r="J243" s="122"/>
      <c r="K243" s="122"/>
      <c r="M243" s="122"/>
    </row>
    <row r="244">
      <c r="F244" s="122"/>
      <c r="G244" s="122"/>
      <c r="H244" s="122"/>
      <c r="I244" s="122"/>
      <c r="J244" s="122"/>
      <c r="K244" s="122"/>
      <c r="M244" s="122"/>
    </row>
    <row r="245">
      <c r="F245" s="122"/>
      <c r="G245" s="122"/>
      <c r="H245" s="122"/>
      <c r="I245" s="122"/>
      <c r="J245" s="122"/>
      <c r="K245" s="122"/>
      <c r="M245" s="122"/>
    </row>
    <row r="246">
      <c r="F246" s="122"/>
      <c r="G246" s="122"/>
      <c r="H246" s="122"/>
      <c r="I246" s="122"/>
      <c r="J246" s="122"/>
      <c r="K246" s="122"/>
      <c r="M246" s="122"/>
    </row>
    <row r="247">
      <c r="F247" s="122"/>
      <c r="G247" s="122"/>
      <c r="H247" s="122"/>
      <c r="I247" s="122"/>
      <c r="J247" s="122"/>
      <c r="K247" s="122"/>
      <c r="M247" s="122"/>
    </row>
    <row r="248">
      <c r="F248" s="122"/>
      <c r="G248" s="122"/>
      <c r="H248" s="122"/>
      <c r="I248" s="122"/>
      <c r="J248" s="122"/>
      <c r="K248" s="122"/>
      <c r="M248" s="122"/>
    </row>
    <row r="249">
      <c r="F249" s="122"/>
      <c r="G249" s="122"/>
      <c r="H249" s="122"/>
      <c r="I249" s="122"/>
      <c r="J249" s="122"/>
      <c r="K249" s="122"/>
      <c r="M249" s="122"/>
    </row>
    <row r="250">
      <c r="F250" s="122"/>
      <c r="G250" s="122"/>
      <c r="H250" s="122"/>
      <c r="I250" s="122"/>
      <c r="J250" s="122"/>
      <c r="K250" s="122"/>
      <c r="M250" s="122"/>
    </row>
    <row r="251">
      <c r="F251" s="122"/>
      <c r="G251" s="122"/>
      <c r="H251" s="122"/>
      <c r="I251" s="122"/>
      <c r="J251" s="122"/>
      <c r="K251" s="122"/>
      <c r="M251" s="122"/>
    </row>
    <row r="252">
      <c r="F252" s="122"/>
      <c r="G252" s="122"/>
      <c r="H252" s="122"/>
      <c r="I252" s="122"/>
      <c r="J252" s="122"/>
      <c r="K252" s="122"/>
      <c r="M252" s="122"/>
    </row>
    <row r="253">
      <c r="F253" s="122"/>
      <c r="G253" s="122"/>
      <c r="H253" s="122"/>
      <c r="I253" s="122"/>
      <c r="J253" s="122"/>
      <c r="K253" s="122"/>
      <c r="M253" s="122"/>
    </row>
    <row r="254">
      <c r="F254" s="122"/>
      <c r="G254" s="122"/>
      <c r="H254" s="122"/>
      <c r="I254" s="122"/>
      <c r="J254" s="122"/>
      <c r="K254" s="122"/>
      <c r="M254" s="122"/>
    </row>
    <row r="255">
      <c r="F255" s="122"/>
      <c r="G255" s="122"/>
      <c r="H255" s="122"/>
      <c r="I255" s="122"/>
      <c r="J255" s="122"/>
      <c r="K255" s="122"/>
      <c r="M255" s="122"/>
    </row>
    <row r="256">
      <c r="F256" s="122"/>
      <c r="G256" s="122"/>
      <c r="H256" s="122"/>
      <c r="I256" s="122"/>
      <c r="J256" s="122"/>
      <c r="K256" s="122"/>
      <c r="M256" s="122"/>
    </row>
    <row r="257">
      <c r="F257" s="122"/>
      <c r="G257" s="122"/>
      <c r="H257" s="122"/>
      <c r="I257" s="122"/>
      <c r="J257" s="122"/>
      <c r="K257" s="122"/>
      <c r="M257" s="122"/>
    </row>
    <row r="258">
      <c r="F258" s="122"/>
      <c r="G258" s="122"/>
      <c r="H258" s="122"/>
      <c r="I258" s="122"/>
      <c r="J258" s="122"/>
      <c r="K258" s="122"/>
      <c r="M258" s="122"/>
    </row>
    <row r="259">
      <c r="F259" s="122"/>
      <c r="G259" s="122"/>
      <c r="H259" s="122"/>
      <c r="I259" s="122"/>
      <c r="J259" s="122"/>
      <c r="K259" s="122"/>
      <c r="M259" s="122"/>
    </row>
    <row r="260">
      <c r="F260" s="122"/>
      <c r="G260" s="122"/>
      <c r="H260" s="122"/>
      <c r="I260" s="122"/>
      <c r="J260" s="122"/>
      <c r="K260" s="122"/>
      <c r="M260" s="122"/>
    </row>
    <row r="261">
      <c r="F261" s="122"/>
      <c r="G261" s="122"/>
      <c r="H261" s="122"/>
      <c r="I261" s="122"/>
      <c r="J261" s="122"/>
      <c r="K261" s="122"/>
      <c r="M261" s="122"/>
    </row>
    <row r="262">
      <c r="F262" s="122"/>
      <c r="G262" s="122"/>
      <c r="H262" s="122"/>
      <c r="I262" s="122"/>
      <c r="J262" s="122"/>
      <c r="K262" s="122"/>
      <c r="M262" s="122"/>
    </row>
    <row r="263">
      <c r="F263" s="122"/>
      <c r="G263" s="122"/>
      <c r="H263" s="122"/>
      <c r="I263" s="122"/>
      <c r="J263" s="122"/>
      <c r="K263" s="122"/>
      <c r="M263" s="122"/>
    </row>
    <row r="264">
      <c r="F264" s="122"/>
      <c r="G264" s="122"/>
      <c r="H264" s="122"/>
      <c r="I264" s="122"/>
      <c r="J264" s="122"/>
      <c r="K264" s="122"/>
      <c r="M264" s="122"/>
    </row>
    <row r="265">
      <c r="F265" s="122"/>
      <c r="G265" s="122"/>
      <c r="H265" s="122"/>
      <c r="I265" s="122"/>
      <c r="J265" s="122"/>
      <c r="K265" s="122"/>
      <c r="M265" s="122"/>
    </row>
    <row r="266">
      <c r="F266" s="122"/>
      <c r="G266" s="122"/>
      <c r="H266" s="122"/>
      <c r="I266" s="122"/>
      <c r="J266" s="122"/>
      <c r="K266" s="122"/>
      <c r="M266" s="122"/>
    </row>
    <row r="267">
      <c r="F267" s="122"/>
      <c r="G267" s="122"/>
      <c r="H267" s="122"/>
      <c r="I267" s="122"/>
      <c r="J267" s="122"/>
      <c r="K267" s="122"/>
      <c r="M267" s="122"/>
    </row>
    <row r="268">
      <c r="F268" s="122"/>
      <c r="G268" s="122"/>
      <c r="H268" s="122"/>
      <c r="I268" s="122"/>
      <c r="J268" s="122"/>
      <c r="K268" s="122"/>
      <c r="M268" s="122"/>
    </row>
    <row r="269">
      <c r="F269" s="122"/>
      <c r="G269" s="122"/>
      <c r="H269" s="122"/>
      <c r="I269" s="122"/>
      <c r="J269" s="122"/>
      <c r="K269" s="122"/>
      <c r="M269" s="122"/>
    </row>
    <row r="270">
      <c r="F270" s="122"/>
      <c r="G270" s="122"/>
      <c r="H270" s="122"/>
      <c r="I270" s="122"/>
      <c r="J270" s="122"/>
      <c r="K270" s="122"/>
      <c r="M270" s="122"/>
    </row>
    <row r="271">
      <c r="F271" s="122"/>
      <c r="G271" s="122"/>
      <c r="H271" s="122"/>
      <c r="I271" s="122"/>
      <c r="J271" s="122"/>
      <c r="K271" s="122"/>
      <c r="M271" s="122"/>
    </row>
    <row r="272">
      <c r="F272" s="122"/>
      <c r="G272" s="122"/>
      <c r="H272" s="122"/>
      <c r="I272" s="122"/>
      <c r="J272" s="122"/>
      <c r="K272" s="122"/>
      <c r="M272" s="122"/>
    </row>
    <row r="273">
      <c r="F273" s="122"/>
      <c r="G273" s="122"/>
      <c r="H273" s="122"/>
      <c r="I273" s="122"/>
      <c r="J273" s="122"/>
      <c r="K273" s="122"/>
      <c r="M273" s="122"/>
    </row>
    <row r="274">
      <c r="F274" s="122"/>
      <c r="G274" s="122"/>
      <c r="H274" s="122"/>
      <c r="I274" s="122"/>
      <c r="J274" s="122"/>
      <c r="K274" s="122"/>
      <c r="M274" s="122"/>
    </row>
    <row r="275">
      <c r="F275" s="122"/>
      <c r="G275" s="122"/>
      <c r="H275" s="122"/>
      <c r="I275" s="122"/>
      <c r="J275" s="122"/>
      <c r="K275" s="122"/>
      <c r="M275" s="122"/>
    </row>
    <row r="276">
      <c r="F276" s="122"/>
      <c r="G276" s="122"/>
      <c r="H276" s="122"/>
      <c r="I276" s="122"/>
      <c r="J276" s="122"/>
      <c r="K276" s="122"/>
      <c r="M276" s="122"/>
    </row>
    <row r="277">
      <c r="F277" s="122"/>
      <c r="G277" s="122"/>
      <c r="H277" s="122"/>
      <c r="I277" s="122"/>
      <c r="J277" s="122"/>
      <c r="K277" s="122"/>
      <c r="M277" s="122"/>
    </row>
    <row r="278">
      <c r="F278" s="122"/>
      <c r="G278" s="122"/>
      <c r="H278" s="122"/>
      <c r="I278" s="122"/>
      <c r="J278" s="122"/>
      <c r="K278" s="122"/>
      <c r="M278" s="122"/>
    </row>
    <row r="279">
      <c r="F279" s="122"/>
      <c r="G279" s="122"/>
      <c r="H279" s="122"/>
      <c r="I279" s="122"/>
      <c r="J279" s="122"/>
      <c r="K279" s="122"/>
      <c r="M279" s="122"/>
    </row>
    <row r="280">
      <c r="F280" s="122"/>
      <c r="G280" s="122"/>
      <c r="H280" s="122"/>
      <c r="I280" s="122"/>
      <c r="J280" s="122"/>
      <c r="K280" s="122"/>
      <c r="M280" s="122"/>
    </row>
    <row r="281">
      <c r="F281" s="122"/>
      <c r="G281" s="122"/>
      <c r="H281" s="122"/>
      <c r="I281" s="122"/>
      <c r="J281" s="122"/>
      <c r="K281" s="122"/>
      <c r="M281" s="122"/>
    </row>
    <row r="282">
      <c r="F282" s="122"/>
      <c r="G282" s="122"/>
      <c r="H282" s="122"/>
      <c r="I282" s="122"/>
      <c r="J282" s="122"/>
      <c r="K282" s="122"/>
      <c r="M282" s="122"/>
    </row>
    <row r="283">
      <c r="F283" s="122"/>
      <c r="G283" s="122"/>
      <c r="H283" s="122"/>
      <c r="I283" s="122"/>
      <c r="J283" s="122"/>
      <c r="K283" s="122"/>
      <c r="M283" s="122"/>
    </row>
    <row r="284">
      <c r="F284" s="122"/>
      <c r="G284" s="122"/>
      <c r="H284" s="122"/>
      <c r="I284" s="122"/>
      <c r="J284" s="122"/>
      <c r="K284" s="122"/>
      <c r="M284" s="122"/>
    </row>
    <row r="285">
      <c r="F285" s="122"/>
      <c r="G285" s="122"/>
      <c r="H285" s="122"/>
      <c r="I285" s="122"/>
      <c r="J285" s="122"/>
      <c r="K285" s="122"/>
      <c r="M285" s="122"/>
    </row>
    <row r="286">
      <c r="F286" s="122"/>
      <c r="G286" s="122"/>
      <c r="H286" s="122"/>
      <c r="I286" s="122"/>
      <c r="J286" s="122"/>
      <c r="K286" s="122"/>
      <c r="M286" s="122"/>
    </row>
    <row r="287">
      <c r="F287" s="122"/>
      <c r="G287" s="122"/>
      <c r="H287" s="122"/>
      <c r="I287" s="122"/>
      <c r="J287" s="122"/>
      <c r="K287" s="122"/>
      <c r="M287" s="122"/>
    </row>
    <row r="288">
      <c r="F288" s="122"/>
      <c r="G288" s="122"/>
      <c r="H288" s="122"/>
      <c r="I288" s="122"/>
      <c r="J288" s="122"/>
      <c r="K288" s="122"/>
      <c r="M288" s="122"/>
    </row>
    <row r="289">
      <c r="F289" s="122"/>
      <c r="G289" s="122"/>
      <c r="H289" s="122"/>
      <c r="I289" s="122"/>
      <c r="J289" s="122"/>
      <c r="K289" s="122"/>
      <c r="M289" s="122"/>
    </row>
    <row r="290">
      <c r="F290" s="122"/>
      <c r="G290" s="122"/>
      <c r="H290" s="122"/>
      <c r="I290" s="122"/>
      <c r="J290" s="122"/>
      <c r="K290" s="122"/>
      <c r="M290" s="122"/>
    </row>
    <row r="291">
      <c r="F291" s="122"/>
      <c r="G291" s="122"/>
      <c r="H291" s="122"/>
      <c r="I291" s="122"/>
      <c r="J291" s="122"/>
      <c r="K291" s="122"/>
      <c r="M291" s="122"/>
    </row>
    <row r="292">
      <c r="F292" s="122"/>
      <c r="G292" s="122"/>
      <c r="H292" s="122"/>
      <c r="I292" s="122"/>
      <c r="J292" s="122"/>
      <c r="K292" s="122"/>
      <c r="M292" s="122"/>
    </row>
    <row r="293">
      <c r="F293" s="122"/>
      <c r="G293" s="122"/>
      <c r="H293" s="122"/>
      <c r="I293" s="122"/>
      <c r="J293" s="122"/>
      <c r="K293" s="122"/>
      <c r="M293" s="122"/>
    </row>
    <row r="294">
      <c r="F294" s="122"/>
      <c r="G294" s="122"/>
      <c r="H294" s="122"/>
      <c r="I294" s="122"/>
      <c r="J294" s="122"/>
      <c r="K294" s="122"/>
      <c r="M294" s="122"/>
    </row>
    <row r="295">
      <c r="F295" s="122"/>
      <c r="G295" s="122"/>
      <c r="H295" s="122"/>
      <c r="I295" s="122"/>
      <c r="J295" s="122"/>
      <c r="K295" s="122"/>
      <c r="M295" s="122"/>
    </row>
    <row r="296">
      <c r="F296" s="122"/>
      <c r="G296" s="122"/>
      <c r="H296" s="122"/>
      <c r="I296" s="122"/>
      <c r="J296" s="122"/>
      <c r="K296" s="122"/>
      <c r="M296" s="122"/>
    </row>
    <row r="297">
      <c r="F297" s="122"/>
      <c r="G297" s="122"/>
      <c r="H297" s="122"/>
      <c r="I297" s="122"/>
      <c r="J297" s="122"/>
      <c r="K297" s="122"/>
      <c r="M297" s="122"/>
    </row>
    <row r="298">
      <c r="F298" s="122"/>
      <c r="G298" s="122"/>
      <c r="H298" s="122"/>
      <c r="I298" s="122"/>
      <c r="J298" s="122"/>
      <c r="K298" s="122"/>
      <c r="M298" s="122"/>
    </row>
    <row r="299">
      <c r="F299" s="122"/>
      <c r="G299" s="122"/>
      <c r="H299" s="122"/>
      <c r="I299" s="122"/>
      <c r="J299" s="122"/>
      <c r="K299" s="122"/>
      <c r="M299" s="122"/>
    </row>
    <row r="300">
      <c r="F300" s="122"/>
      <c r="G300" s="122"/>
      <c r="H300" s="122"/>
      <c r="I300" s="122"/>
      <c r="J300" s="122"/>
      <c r="K300" s="122"/>
      <c r="M300" s="122"/>
    </row>
    <row r="301">
      <c r="F301" s="122"/>
      <c r="G301" s="122"/>
      <c r="H301" s="122"/>
      <c r="I301" s="122"/>
      <c r="J301" s="122"/>
      <c r="K301" s="122"/>
      <c r="M301" s="122"/>
    </row>
    <row r="302">
      <c r="F302" s="122"/>
      <c r="G302" s="122"/>
      <c r="H302" s="122"/>
      <c r="I302" s="122"/>
      <c r="J302" s="122"/>
      <c r="K302" s="122"/>
      <c r="M302" s="122"/>
    </row>
    <row r="303">
      <c r="F303" s="122"/>
      <c r="G303" s="122"/>
      <c r="H303" s="122"/>
      <c r="I303" s="122"/>
      <c r="J303" s="122"/>
      <c r="K303" s="122"/>
      <c r="M303" s="122"/>
    </row>
    <row r="304">
      <c r="F304" s="122"/>
      <c r="G304" s="122"/>
      <c r="H304" s="122"/>
      <c r="I304" s="122"/>
      <c r="J304" s="122"/>
      <c r="K304" s="122"/>
      <c r="M304" s="122"/>
    </row>
    <row r="305">
      <c r="F305" s="122"/>
      <c r="G305" s="122"/>
      <c r="H305" s="122"/>
      <c r="I305" s="122"/>
      <c r="J305" s="122"/>
      <c r="K305" s="122"/>
      <c r="M305" s="122"/>
    </row>
    <row r="306">
      <c r="F306" s="122"/>
      <c r="G306" s="122"/>
      <c r="H306" s="122"/>
      <c r="I306" s="122"/>
      <c r="J306" s="122"/>
      <c r="K306" s="122"/>
      <c r="M306" s="122"/>
    </row>
    <row r="307">
      <c r="F307" s="122"/>
      <c r="G307" s="122"/>
      <c r="H307" s="122"/>
      <c r="I307" s="122"/>
      <c r="J307" s="122"/>
      <c r="K307" s="122"/>
      <c r="M307" s="122"/>
    </row>
    <row r="308">
      <c r="F308" s="122"/>
      <c r="G308" s="122"/>
      <c r="H308" s="122"/>
      <c r="I308" s="122"/>
      <c r="J308" s="122"/>
      <c r="K308" s="122"/>
      <c r="M308" s="122"/>
    </row>
    <row r="309">
      <c r="F309" s="122"/>
      <c r="G309" s="122"/>
      <c r="H309" s="122"/>
      <c r="I309" s="122"/>
      <c r="J309" s="122"/>
      <c r="K309" s="122"/>
      <c r="M309" s="122"/>
    </row>
    <row r="310">
      <c r="F310" s="122"/>
      <c r="G310" s="122"/>
      <c r="H310" s="122"/>
      <c r="I310" s="122"/>
      <c r="J310" s="122"/>
      <c r="K310" s="122"/>
      <c r="M310" s="122"/>
    </row>
    <row r="311">
      <c r="F311" s="122"/>
      <c r="G311" s="122"/>
      <c r="H311" s="122"/>
      <c r="I311" s="122"/>
      <c r="J311" s="122"/>
      <c r="K311" s="122"/>
      <c r="M311" s="122"/>
    </row>
    <row r="312">
      <c r="F312" s="122"/>
      <c r="G312" s="122"/>
      <c r="H312" s="122"/>
      <c r="I312" s="122"/>
      <c r="J312" s="122"/>
      <c r="K312" s="122"/>
      <c r="M312" s="122"/>
    </row>
    <row r="313">
      <c r="F313" s="122"/>
      <c r="G313" s="122"/>
      <c r="H313" s="122"/>
      <c r="I313" s="122"/>
      <c r="J313" s="122"/>
      <c r="K313" s="122"/>
      <c r="M313" s="122"/>
    </row>
    <row r="314">
      <c r="F314" s="122"/>
      <c r="G314" s="122"/>
      <c r="H314" s="122"/>
      <c r="I314" s="122"/>
      <c r="J314" s="122"/>
      <c r="K314" s="122"/>
      <c r="M314" s="122"/>
    </row>
    <row r="315">
      <c r="F315" s="122"/>
      <c r="G315" s="122"/>
      <c r="H315" s="122"/>
      <c r="I315" s="122"/>
      <c r="J315" s="122"/>
      <c r="K315" s="122"/>
      <c r="M315" s="122"/>
    </row>
    <row r="316">
      <c r="F316" s="122"/>
      <c r="G316" s="122"/>
      <c r="H316" s="122"/>
      <c r="I316" s="122"/>
      <c r="J316" s="122"/>
      <c r="K316" s="122"/>
      <c r="M316" s="122"/>
    </row>
    <row r="317">
      <c r="F317" s="122"/>
      <c r="G317" s="122"/>
      <c r="H317" s="122"/>
      <c r="I317" s="122"/>
      <c r="J317" s="122"/>
      <c r="K317" s="122"/>
      <c r="M317" s="122"/>
    </row>
    <row r="318">
      <c r="F318" s="122"/>
      <c r="G318" s="122"/>
      <c r="H318" s="122"/>
      <c r="I318" s="122"/>
      <c r="J318" s="122"/>
      <c r="K318" s="122"/>
      <c r="M318" s="122"/>
    </row>
    <row r="319">
      <c r="F319" s="122"/>
      <c r="G319" s="122"/>
      <c r="H319" s="122"/>
      <c r="I319" s="122"/>
      <c r="J319" s="122"/>
      <c r="K319" s="122"/>
      <c r="M319" s="122"/>
    </row>
    <row r="320">
      <c r="F320" s="122"/>
      <c r="G320" s="122"/>
      <c r="H320" s="122"/>
      <c r="I320" s="122"/>
      <c r="J320" s="122"/>
      <c r="K320" s="122"/>
      <c r="M320" s="122"/>
    </row>
    <row r="321">
      <c r="F321" s="122"/>
      <c r="G321" s="122"/>
      <c r="H321" s="122"/>
      <c r="I321" s="122"/>
      <c r="J321" s="122"/>
      <c r="K321" s="122"/>
      <c r="M321" s="122"/>
    </row>
    <row r="322">
      <c r="F322" s="122"/>
      <c r="G322" s="122"/>
      <c r="H322" s="122"/>
      <c r="I322" s="122"/>
      <c r="J322" s="122"/>
      <c r="K322" s="122"/>
      <c r="M322" s="122"/>
    </row>
    <row r="323">
      <c r="F323" s="122"/>
      <c r="G323" s="122"/>
      <c r="H323" s="122"/>
      <c r="I323" s="122"/>
      <c r="J323" s="122"/>
      <c r="K323" s="122"/>
      <c r="M323" s="122"/>
    </row>
    <row r="324">
      <c r="F324" s="122"/>
      <c r="G324" s="122"/>
      <c r="H324" s="122"/>
      <c r="I324" s="122"/>
      <c r="J324" s="122"/>
      <c r="K324" s="122"/>
      <c r="M324" s="122"/>
    </row>
    <row r="325">
      <c r="F325" s="122"/>
      <c r="G325" s="122"/>
      <c r="H325" s="122"/>
      <c r="I325" s="122"/>
      <c r="J325" s="122"/>
      <c r="K325" s="122"/>
      <c r="M325" s="122"/>
    </row>
    <row r="326">
      <c r="F326" s="122"/>
      <c r="G326" s="122"/>
      <c r="H326" s="122"/>
      <c r="I326" s="122"/>
      <c r="J326" s="122"/>
      <c r="K326" s="122"/>
      <c r="M326" s="122"/>
    </row>
    <row r="327">
      <c r="F327" s="122"/>
      <c r="G327" s="122"/>
      <c r="H327" s="122"/>
      <c r="I327" s="122"/>
      <c r="J327" s="122"/>
      <c r="K327" s="122"/>
      <c r="M327" s="122"/>
    </row>
    <row r="328">
      <c r="F328" s="122"/>
      <c r="G328" s="122"/>
      <c r="H328" s="122"/>
      <c r="I328" s="122"/>
      <c r="J328" s="122"/>
      <c r="K328" s="122"/>
      <c r="M328" s="122"/>
    </row>
    <row r="329">
      <c r="F329" s="122"/>
      <c r="G329" s="122"/>
      <c r="H329" s="122"/>
      <c r="I329" s="122"/>
      <c r="J329" s="122"/>
      <c r="K329" s="122"/>
      <c r="M329" s="122"/>
    </row>
    <row r="330">
      <c r="F330" s="122"/>
      <c r="G330" s="122"/>
      <c r="H330" s="122"/>
      <c r="I330" s="122"/>
      <c r="J330" s="122"/>
      <c r="K330" s="122"/>
      <c r="M330" s="122"/>
    </row>
    <row r="331">
      <c r="F331" s="122"/>
      <c r="G331" s="122"/>
      <c r="H331" s="122"/>
      <c r="I331" s="122"/>
      <c r="J331" s="122"/>
      <c r="K331" s="122"/>
      <c r="M331" s="122"/>
    </row>
    <row r="332">
      <c r="F332" s="122"/>
      <c r="G332" s="122"/>
      <c r="H332" s="122"/>
      <c r="I332" s="122"/>
      <c r="J332" s="122"/>
      <c r="K332" s="122"/>
      <c r="M332" s="122"/>
    </row>
    <row r="333">
      <c r="F333" s="122"/>
      <c r="G333" s="122"/>
      <c r="H333" s="122"/>
      <c r="I333" s="122"/>
      <c r="J333" s="122"/>
      <c r="K333" s="122"/>
      <c r="M333" s="122"/>
    </row>
    <row r="334">
      <c r="F334" s="122"/>
      <c r="G334" s="122"/>
      <c r="H334" s="122"/>
      <c r="I334" s="122"/>
      <c r="J334" s="122"/>
      <c r="K334" s="122"/>
      <c r="M334" s="122"/>
    </row>
    <row r="335">
      <c r="F335" s="122"/>
      <c r="G335" s="122"/>
      <c r="H335" s="122"/>
      <c r="I335" s="122"/>
      <c r="J335" s="122"/>
      <c r="K335" s="122"/>
      <c r="M335" s="122"/>
    </row>
    <row r="336">
      <c r="F336" s="122"/>
      <c r="G336" s="122"/>
      <c r="H336" s="122"/>
      <c r="I336" s="122"/>
      <c r="J336" s="122"/>
      <c r="K336" s="122"/>
      <c r="M336" s="122"/>
    </row>
    <row r="337">
      <c r="F337" s="122"/>
      <c r="G337" s="122"/>
      <c r="H337" s="122"/>
      <c r="I337" s="122"/>
      <c r="J337" s="122"/>
      <c r="K337" s="122"/>
      <c r="M337" s="122"/>
    </row>
    <row r="338">
      <c r="F338" s="122"/>
      <c r="G338" s="122"/>
      <c r="H338" s="122"/>
      <c r="I338" s="122"/>
      <c r="J338" s="122"/>
      <c r="K338" s="122"/>
      <c r="M338" s="122"/>
    </row>
    <row r="339">
      <c r="F339" s="122"/>
      <c r="G339" s="122"/>
      <c r="H339" s="122"/>
      <c r="I339" s="122"/>
      <c r="J339" s="122"/>
      <c r="K339" s="122"/>
      <c r="M339" s="122"/>
    </row>
    <row r="340">
      <c r="F340" s="122"/>
      <c r="G340" s="122"/>
      <c r="H340" s="122"/>
      <c r="I340" s="122"/>
      <c r="J340" s="122"/>
      <c r="K340" s="122"/>
      <c r="M340" s="122"/>
    </row>
    <row r="341">
      <c r="F341" s="122"/>
      <c r="G341" s="122"/>
      <c r="H341" s="122"/>
      <c r="I341" s="122"/>
      <c r="J341" s="122"/>
      <c r="K341" s="122"/>
      <c r="M341" s="122"/>
    </row>
    <row r="342">
      <c r="F342" s="122"/>
      <c r="G342" s="122"/>
      <c r="H342" s="122"/>
      <c r="I342" s="122"/>
      <c r="J342" s="122"/>
      <c r="K342" s="122"/>
      <c r="M342" s="122"/>
    </row>
    <row r="343">
      <c r="F343" s="122"/>
      <c r="G343" s="122"/>
      <c r="H343" s="122"/>
      <c r="I343" s="122"/>
      <c r="J343" s="122"/>
      <c r="K343" s="122"/>
      <c r="M343" s="122"/>
    </row>
    <row r="344">
      <c r="F344" s="122"/>
      <c r="G344" s="122"/>
      <c r="H344" s="122"/>
      <c r="I344" s="122"/>
      <c r="J344" s="122"/>
      <c r="K344" s="122"/>
      <c r="M344" s="122"/>
    </row>
    <row r="345">
      <c r="F345" s="122"/>
      <c r="G345" s="122"/>
      <c r="H345" s="122"/>
      <c r="I345" s="122"/>
      <c r="J345" s="122"/>
      <c r="K345" s="122"/>
      <c r="M345" s="122"/>
    </row>
    <row r="346">
      <c r="F346" s="122"/>
      <c r="G346" s="122"/>
      <c r="H346" s="122"/>
      <c r="I346" s="122"/>
      <c r="J346" s="122"/>
      <c r="K346" s="122"/>
      <c r="M346" s="122"/>
    </row>
    <row r="347">
      <c r="F347" s="122"/>
      <c r="G347" s="122"/>
      <c r="H347" s="122"/>
      <c r="I347" s="122"/>
      <c r="J347" s="122"/>
      <c r="K347" s="122"/>
      <c r="M347" s="122"/>
    </row>
    <row r="348">
      <c r="F348" s="122"/>
      <c r="G348" s="122"/>
      <c r="H348" s="122"/>
      <c r="I348" s="122"/>
      <c r="J348" s="122"/>
      <c r="K348" s="122"/>
      <c r="M348" s="122"/>
    </row>
    <row r="349">
      <c r="F349" s="122"/>
      <c r="G349" s="122"/>
      <c r="H349" s="122"/>
      <c r="I349" s="122"/>
      <c r="J349" s="122"/>
      <c r="K349" s="122"/>
      <c r="M349" s="122"/>
    </row>
    <row r="350">
      <c r="F350" s="122"/>
      <c r="G350" s="122"/>
      <c r="H350" s="122"/>
      <c r="I350" s="122"/>
      <c r="J350" s="122"/>
      <c r="K350" s="122"/>
      <c r="M350" s="122"/>
    </row>
    <row r="351">
      <c r="F351" s="122"/>
      <c r="G351" s="122"/>
      <c r="H351" s="122"/>
      <c r="I351" s="122"/>
      <c r="J351" s="122"/>
      <c r="K351" s="122"/>
      <c r="M351" s="122"/>
    </row>
    <row r="352">
      <c r="F352" s="122"/>
      <c r="G352" s="122"/>
      <c r="H352" s="122"/>
      <c r="I352" s="122"/>
      <c r="J352" s="122"/>
      <c r="K352" s="122"/>
      <c r="M352" s="122"/>
    </row>
    <row r="353">
      <c r="F353" s="122"/>
      <c r="G353" s="122"/>
      <c r="H353" s="122"/>
      <c r="I353" s="122"/>
      <c r="J353" s="122"/>
      <c r="K353" s="122"/>
      <c r="M353" s="122"/>
    </row>
    <row r="354">
      <c r="F354" s="122"/>
      <c r="G354" s="122"/>
      <c r="H354" s="122"/>
      <c r="I354" s="122"/>
      <c r="J354" s="122"/>
      <c r="K354" s="122"/>
      <c r="M354" s="122"/>
    </row>
    <row r="355">
      <c r="F355" s="122"/>
      <c r="G355" s="122"/>
      <c r="H355" s="122"/>
      <c r="I355" s="122"/>
      <c r="J355" s="122"/>
      <c r="K355" s="122"/>
      <c r="M355" s="122"/>
    </row>
    <row r="356">
      <c r="F356" s="122"/>
      <c r="G356" s="122"/>
      <c r="H356" s="122"/>
      <c r="I356" s="122"/>
      <c r="J356" s="122"/>
      <c r="K356" s="122"/>
      <c r="M356" s="122"/>
    </row>
    <row r="357">
      <c r="F357" s="122"/>
      <c r="G357" s="122"/>
      <c r="H357" s="122"/>
      <c r="I357" s="122"/>
      <c r="J357" s="122"/>
      <c r="K357" s="122"/>
      <c r="M357" s="122"/>
    </row>
    <row r="358">
      <c r="F358" s="122"/>
      <c r="G358" s="122"/>
      <c r="H358" s="122"/>
      <c r="I358" s="122"/>
      <c r="J358" s="122"/>
      <c r="K358" s="122"/>
      <c r="M358" s="122"/>
    </row>
    <row r="359">
      <c r="F359" s="122"/>
      <c r="G359" s="122"/>
      <c r="H359" s="122"/>
      <c r="I359" s="122"/>
      <c r="J359" s="122"/>
      <c r="K359" s="122"/>
      <c r="M359" s="122"/>
    </row>
    <row r="360">
      <c r="F360" s="122"/>
      <c r="G360" s="122"/>
      <c r="H360" s="122"/>
      <c r="I360" s="122"/>
      <c r="J360" s="122"/>
      <c r="K360" s="122"/>
      <c r="M360" s="122"/>
    </row>
    <row r="361">
      <c r="F361" s="122"/>
      <c r="G361" s="122"/>
      <c r="H361" s="122"/>
      <c r="I361" s="122"/>
      <c r="J361" s="122"/>
      <c r="K361" s="122"/>
      <c r="M361" s="122"/>
    </row>
    <row r="362">
      <c r="F362" s="122"/>
      <c r="G362" s="122"/>
      <c r="H362" s="122"/>
      <c r="I362" s="122"/>
      <c r="J362" s="122"/>
      <c r="K362" s="122"/>
      <c r="M362" s="122"/>
    </row>
    <row r="363">
      <c r="F363" s="122"/>
      <c r="G363" s="122"/>
      <c r="H363" s="122"/>
      <c r="I363" s="122"/>
      <c r="J363" s="122"/>
      <c r="K363" s="122"/>
      <c r="M363" s="122"/>
    </row>
    <row r="364">
      <c r="F364" s="122"/>
      <c r="G364" s="122"/>
      <c r="H364" s="122"/>
      <c r="I364" s="122"/>
      <c r="J364" s="122"/>
      <c r="K364" s="122"/>
      <c r="M364" s="122"/>
    </row>
    <row r="365">
      <c r="F365" s="122"/>
      <c r="G365" s="122"/>
      <c r="H365" s="122"/>
      <c r="I365" s="122"/>
      <c r="J365" s="122"/>
      <c r="K365" s="122"/>
      <c r="M365" s="122"/>
    </row>
    <row r="366">
      <c r="F366" s="122"/>
      <c r="G366" s="122"/>
      <c r="H366" s="122"/>
      <c r="I366" s="122"/>
      <c r="J366" s="122"/>
      <c r="K366" s="122"/>
      <c r="M366" s="122"/>
    </row>
    <row r="367">
      <c r="F367" s="122"/>
      <c r="G367" s="122"/>
      <c r="H367" s="122"/>
      <c r="I367" s="122"/>
      <c r="J367" s="122"/>
      <c r="K367" s="122"/>
      <c r="M367" s="122"/>
    </row>
    <row r="368">
      <c r="F368" s="122"/>
      <c r="G368" s="122"/>
      <c r="H368" s="122"/>
      <c r="I368" s="122"/>
      <c r="J368" s="122"/>
      <c r="K368" s="122"/>
      <c r="M368" s="122"/>
    </row>
    <row r="369">
      <c r="F369" s="122"/>
      <c r="G369" s="122"/>
      <c r="H369" s="122"/>
      <c r="I369" s="122"/>
      <c r="J369" s="122"/>
      <c r="K369" s="122"/>
      <c r="M369" s="122"/>
    </row>
    <row r="370">
      <c r="F370" s="122"/>
      <c r="G370" s="122"/>
      <c r="H370" s="122"/>
      <c r="I370" s="122"/>
      <c r="J370" s="122"/>
      <c r="K370" s="122"/>
      <c r="M370" s="122"/>
    </row>
    <row r="371">
      <c r="F371" s="122"/>
      <c r="G371" s="122"/>
      <c r="H371" s="122"/>
      <c r="I371" s="122"/>
      <c r="J371" s="122"/>
      <c r="K371" s="122"/>
      <c r="M371" s="122"/>
    </row>
    <row r="372">
      <c r="F372" s="122"/>
      <c r="G372" s="122"/>
      <c r="H372" s="122"/>
      <c r="I372" s="122"/>
      <c r="J372" s="122"/>
      <c r="K372" s="122"/>
      <c r="M372" s="122"/>
    </row>
    <row r="373">
      <c r="F373" s="122"/>
      <c r="G373" s="122"/>
      <c r="H373" s="122"/>
      <c r="I373" s="122"/>
      <c r="J373" s="122"/>
      <c r="K373" s="122"/>
      <c r="M373" s="122"/>
    </row>
    <row r="374">
      <c r="F374" s="122"/>
      <c r="G374" s="122"/>
      <c r="H374" s="122"/>
      <c r="I374" s="122"/>
      <c r="J374" s="122"/>
      <c r="K374" s="122"/>
      <c r="M374" s="122"/>
    </row>
    <row r="375">
      <c r="F375" s="122"/>
      <c r="G375" s="122"/>
      <c r="H375" s="122"/>
      <c r="I375" s="122"/>
      <c r="J375" s="122"/>
      <c r="K375" s="122"/>
      <c r="M375" s="122"/>
    </row>
    <row r="376">
      <c r="F376" s="122"/>
      <c r="G376" s="122"/>
      <c r="H376" s="122"/>
      <c r="I376" s="122"/>
      <c r="J376" s="122"/>
      <c r="K376" s="122"/>
      <c r="M376" s="122"/>
    </row>
    <row r="377">
      <c r="F377" s="122"/>
      <c r="G377" s="122"/>
      <c r="H377" s="122"/>
      <c r="I377" s="122"/>
      <c r="J377" s="122"/>
      <c r="K377" s="122"/>
      <c r="M377" s="122"/>
    </row>
    <row r="378">
      <c r="F378" s="122"/>
      <c r="G378" s="122"/>
      <c r="H378" s="122"/>
      <c r="I378" s="122"/>
      <c r="J378" s="122"/>
      <c r="K378" s="122"/>
      <c r="M378" s="122"/>
    </row>
    <row r="379">
      <c r="F379" s="122"/>
      <c r="G379" s="122"/>
      <c r="H379" s="122"/>
      <c r="I379" s="122"/>
      <c r="J379" s="122"/>
      <c r="K379" s="122"/>
      <c r="M379" s="122"/>
    </row>
    <row r="380">
      <c r="F380" s="122"/>
      <c r="G380" s="122"/>
      <c r="H380" s="122"/>
      <c r="I380" s="122"/>
      <c r="J380" s="122"/>
      <c r="K380" s="122"/>
      <c r="M380" s="122"/>
    </row>
    <row r="381">
      <c r="F381" s="122"/>
      <c r="G381" s="122"/>
      <c r="H381" s="122"/>
      <c r="I381" s="122"/>
      <c r="J381" s="122"/>
      <c r="K381" s="122"/>
      <c r="M381" s="122"/>
    </row>
    <row r="382">
      <c r="F382" s="122"/>
      <c r="G382" s="122"/>
      <c r="H382" s="122"/>
      <c r="I382" s="122"/>
      <c r="J382" s="122"/>
      <c r="K382" s="122"/>
      <c r="M382" s="122"/>
    </row>
    <row r="383">
      <c r="F383" s="122"/>
      <c r="G383" s="122"/>
      <c r="H383" s="122"/>
      <c r="I383" s="122"/>
      <c r="J383" s="122"/>
      <c r="K383" s="122"/>
      <c r="M383" s="122"/>
    </row>
    <row r="384">
      <c r="F384" s="122"/>
      <c r="G384" s="122"/>
      <c r="H384" s="122"/>
      <c r="I384" s="122"/>
      <c r="J384" s="122"/>
      <c r="K384" s="122"/>
      <c r="M384" s="122"/>
    </row>
    <row r="385">
      <c r="F385" s="122"/>
      <c r="G385" s="122"/>
      <c r="H385" s="122"/>
      <c r="I385" s="122"/>
      <c r="J385" s="122"/>
      <c r="K385" s="122"/>
      <c r="M385" s="122"/>
    </row>
    <row r="386">
      <c r="F386" s="122"/>
      <c r="G386" s="122"/>
      <c r="H386" s="122"/>
      <c r="I386" s="122"/>
      <c r="J386" s="122"/>
      <c r="K386" s="122"/>
      <c r="M386" s="122"/>
    </row>
    <row r="387">
      <c r="F387" s="122"/>
      <c r="G387" s="122"/>
      <c r="H387" s="122"/>
      <c r="I387" s="122"/>
      <c r="J387" s="122"/>
      <c r="K387" s="122"/>
      <c r="M387" s="122"/>
    </row>
    <row r="388">
      <c r="F388" s="122"/>
      <c r="G388" s="122"/>
      <c r="H388" s="122"/>
      <c r="I388" s="122"/>
      <c r="J388" s="122"/>
      <c r="K388" s="122"/>
      <c r="M388" s="122"/>
    </row>
    <row r="389">
      <c r="F389" s="122"/>
      <c r="G389" s="122"/>
      <c r="H389" s="122"/>
      <c r="I389" s="122"/>
      <c r="J389" s="122"/>
      <c r="K389" s="122"/>
      <c r="M389" s="122"/>
    </row>
    <row r="390">
      <c r="F390" s="122"/>
      <c r="G390" s="122"/>
      <c r="H390" s="122"/>
      <c r="I390" s="122"/>
      <c r="J390" s="122"/>
      <c r="K390" s="122"/>
      <c r="M390" s="122"/>
    </row>
    <row r="391">
      <c r="F391" s="122"/>
      <c r="G391" s="122"/>
      <c r="H391" s="122"/>
      <c r="I391" s="122"/>
      <c r="J391" s="122"/>
      <c r="K391" s="122"/>
      <c r="M391" s="122"/>
    </row>
    <row r="392">
      <c r="F392" s="122"/>
      <c r="G392" s="122"/>
      <c r="H392" s="122"/>
      <c r="I392" s="122"/>
      <c r="J392" s="122"/>
      <c r="K392" s="122"/>
      <c r="M392" s="122"/>
    </row>
    <row r="393">
      <c r="F393" s="122"/>
      <c r="G393" s="122"/>
      <c r="H393" s="122"/>
      <c r="I393" s="122"/>
      <c r="J393" s="122"/>
      <c r="K393" s="122"/>
      <c r="M393" s="122"/>
    </row>
    <row r="394">
      <c r="F394" s="122"/>
      <c r="G394" s="122"/>
      <c r="H394" s="122"/>
      <c r="I394" s="122"/>
      <c r="J394" s="122"/>
      <c r="K394" s="122"/>
      <c r="M394" s="122"/>
    </row>
    <row r="395">
      <c r="F395" s="122"/>
      <c r="G395" s="122"/>
      <c r="H395" s="122"/>
      <c r="I395" s="122"/>
      <c r="J395" s="122"/>
      <c r="K395" s="122"/>
      <c r="M395" s="122"/>
    </row>
    <row r="396">
      <c r="F396" s="122"/>
      <c r="G396" s="122"/>
      <c r="H396" s="122"/>
      <c r="I396" s="122"/>
      <c r="J396" s="122"/>
      <c r="K396" s="122"/>
      <c r="M396" s="122"/>
    </row>
    <row r="397">
      <c r="F397" s="122"/>
      <c r="G397" s="122"/>
      <c r="H397" s="122"/>
      <c r="I397" s="122"/>
      <c r="J397" s="122"/>
      <c r="K397" s="122"/>
      <c r="M397" s="122"/>
    </row>
    <row r="398">
      <c r="F398" s="122"/>
      <c r="G398" s="122"/>
      <c r="H398" s="122"/>
      <c r="I398" s="122"/>
      <c r="J398" s="122"/>
      <c r="K398" s="122"/>
      <c r="M398" s="122"/>
    </row>
    <row r="399">
      <c r="F399" s="122"/>
      <c r="G399" s="122"/>
      <c r="H399" s="122"/>
      <c r="I399" s="122"/>
      <c r="J399" s="122"/>
      <c r="K399" s="122"/>
      <c r="M399" s="122"/>
    </row>
    <row r="400">
      <c r="F400" s="122"/>
      <c r="G400" s="122"/>
      <c r="H400" s="122"/>
      <c r="I400" s="122"/>
      <c r="J400" s="122"/>
      <c r="K400" s="122"/>
      <c r="M400" s="122"/>
    </row>
    <row r="401">
      <c r="F401" s="122"/>
      <c r="G401" s="122"/>
      <c r="H401" s="122"/>
      <c r="I401" s="122"/>
      <c r="J401" s="122"/>
      <c r="K401" s="122"/>
      <c r="M401" s="122"/>
    </row>
    <row r="402">
      <c r="F402" s="122"/>
      <c r="G402" s="122"/>
      <c r="H402" s="122"/>
      <c r="I402" s="122"/>
      <c r="J402" s="122"/>
      <c r="K402" s="122"/>
      <c r="M402" s="122"/>
    </row>
    <row r="403">
      <c r="F403" s="122"/>
      <c r="G403" s="122"/>
      <c r="H403" s="122"/>
      <c r="I403" s="122"/>
      <c r="J403" s="122"/>
      <c r="K403" s="122"/>
      <c r="M403" s="122"/>
    </row>
    <row r="404">
      <c r="F404" s="122"/>
      <c r="G404" s="122"/>
      <c r="H404" s="122"/>
      <c r="I404" s="122"/>
      <c r="J404" s="122"/>
      <c r="K404" s="122"/>
      <c r="M404" s="122"/>
    </row>
    <row r="405">
      <c r="F405" s="122"/>
      <c r="G405" s="122"/>
      <c r="H405" s="122"/>
      <c r="I405" s="122"/>
      <c r="J405" s="122"/>
      <c r="K405" s="122"/>
      <c r="M405" s="122"/>
    </row>
    <row r="406">
      <c r="F406" s="122"/>
      <c r="G406" s="122"/>
      <c r="H406" s="122"/>
      <c r="I406" s="122"/>
      <c r="J406" s="122"/>
      <c r="K406" s="122"/>
      <c r="M406" s="122"/>
    </row>
    <row r="407">
      <c r="F407" s="122"/>
      <c r="G407" s="122"/>
      <c r="H407" s="122"/>
      <c r="I407" s="122"/>
      <c r="J407" s="122"/>
      <c r="K407" s="122"/>
      <c r="M407" s="122"/>
    </row>
    <row r="408">
      <c r="F408" s="122"/>
      <c r="G408" s="122"/>
      <c r="H408" s="122"/>
      <c r="I408" s="122"/>
      <c r="J408" s="122"/>
      <c r="K408" s="122"/>
      <c r="M408" s="122"/>
    </row>
    <row r="409">
      <c r="F409" s="122"/>
      <c r="G409" s="122"/>
      <c r="H409" s="122"/>
      <c r="I409" s="122"/>
      <c r="J409" s="122"/>
      <c r="K409" s="122"/>
      <c r="M409" s="122"/>
    </row>
    <row r="410">
      <c r="F410" s="122"/>
      <c r="G410" s="122"/>
      <c r="H410" s="122"/>
      <c r="I410" s="122"/>
      <c r="J410" s="122"/>
      <c r="K410" s="122"/>
      <c r="M410" s="122"/>
    </row>
    <row r="411">
      <c r="F411" s="122"/>
      <c r="G411" s="122"/>
      <c r="H411" s="122"/>
      <c r="I411" s="122"/>
      <c r="J411" s="122"/>
      <c r="K411" s="122"/>
      <c r="M411" s="122"/>
    </row>
    <row r="412">
      <c r="F412" s="122"/>
      <c r="G412" s="122"/>
      <c r="H412" s="122"/>
      <c r="I412" s="122"/>
      <c r="J412" s="122"/>
      <c r="K412" s="122"/>
      <c r="M412" s="122"/>
    </row>
    <row r="413">
      <c r="F413" s="122"/>
      <c r="G413" s="122"/>
      <c r="H413" s="122"/>
      <c r="I413" s="122"/>
      <c r="J413" s="122"/>
      <c r="K413" s="122"/>
      <c r="M413" s="122"/>
    </row>
    <row r="414">
      <c r="F414" s="122"/>
      <c r="G414" s="122"/>
      <c r="H414" s="122"/>
      <c r="I414" s="122"/>
      <c r="J414" s="122"/>
      <c r="K414" s="122"/>
      <c r="M414" s="122"/>
    </row>
    <row r="415">
      <c r="F415" s="122"/>
      <c r="G415" s="122"/>
      <c r="H415" s="122"/>
      <c r="I415" s="122"/>
      <c r="J415" s="122"/>
      <c r="K415" s="122"/>
      <c r="M415" s="122"/>
    </row>
    <row r="416">
      <c r="F416" s="122"/>
      <c r="G416" s="122"/>
      <c r="H416" s="122"/>
      <c r="I416" s="122"/>
      <c r="J416" s="122"/>
      <c r="K416" s="122"/>
      <c r="M416" s="122"/>
    </row>
    <row r="417">
      <c r="F417" s="122"/>
      <c r="G417" s="122"/>
      <c r="H417" s="122"/>
      <c r="I417" s="122"/>
      <c r="J417" s="122"/>
      <c r="K417" s="122"/>
      <c r="M417" s="122"/>
    </row>
    <row r="418">
      <c r="F418" s="122"/>
      <c r="G418" s="122"/>
      <c r="H418" s="122"/>
      <c r="I418" s="122"/>
      <c r="J418" s="122"/>
      <c r="K418" s="122"/>
      <c r="M418" s="122"/>
    </row>
    <row r="419">
      <c r="F419" s="122"/>
      <c r="G419" s="122"/>
      <c r="H419" s="122"/>
      <c r="I419" s="122"/>
      <c r="J419" s="122"/>
      <c r="K419" s="122"/>
      <c r="M419" s="122"/>
    </row>
    <row r="420">
      <c r="F420" s="122"/>
      <c r="G420" s="122"/>
      <c r="H420" s="122"/>
      <c r="I420" s="122"/>
      <c r="J420" s="122"/>
      <c r="K420" s="122"/>
      <c r="M420" s="122"/>
    </row>
    <row r="421">
      <c r="F421" s="122"/>
      <c r="G421" s="122"/>
      <c r="H421" s="122"/>
      <c r="I421" s="122"/>
      <c r="J421" s="122"/>
      <c r="K421" s="122"/>
      <c r="M421" s="122"/>
    </row>
    <row r="422">
      <c r="F422" s="122"/>
      <c r="G422" s="122"/>
      <c r="H422" s="122"/>
      <c r="I422" s="122"/>
      <c r="J422" s="122"/>
      <c r="K422" s="122"/>
      <c r="M422" s="122"/>
    </row>
    <row r="423">
      <c r="F423" s="122"/>
      <c r="G423" s="122"/>
      <c r="H423" s="122"/>
      <c r="I423" s="122"/>
      <c r="J423" s="122"/>
      <c r="K423" s="122"/>
      <c r="M423" s="122"/>
    </row>
    <row r="424">
      <c r="F424" s="122"/>
      <c r="G424" s="122"/>
      <c r="H424" s="122"/>
      <c r="I424" s="122"/>
      <c r="J424" s="122"/>
      <c r="K424" s="122"/>
      <c r="M424" s="122"/>
    </row>
    <row r="425">
      <c r="F425" s="122"/>
      <c r="G425" s="122"/>
      <c r="H425" s="122"/>
      <c r="I425" s="122"/>
      <c r="J425" s="122"/>
      <c r="K425" s="122"/>
      <c r="M425" s="122"/>
    </row>
    <row r="426">
      <c r="F426" s="122"/>
      <c r="G426" s="122"/>
      <c r="H426" s="122"/>
      <c r="I426" s="122"/>
      <c r="J426" s="122"/>
      <c r="K426" s="122"/>
      <c r="M426" s="122"/>
    </row>
    <row r="427">
      <c r="F427" s="122"/>
      <c r="G427" s="122"/>
      <c r="H427" s="122"/>
      <c r="I427" s="122"/>
      <c r="J427" s="122"/>
      <c r="K427" s="122"/>
      <c r="M427" s="122"/>
    </row>
    <row r="428">
      <c r="F428" s="122"/>
      <c r="G428" s="122"/>
      <c r="H428" s="122"/>
      <c r="I428" s="122"/>
      <c r="J428" s="122"/>
      <c r="K428" s="122"/>
      <c r="M428" s="122"/>
    </row>
    <row r="429">
      <c r="F429" s="122"/>
      <c r="G429" s="122"/>
      <c r="H429" s="122"/>
      <c r="I429" s="122"/>
      <c r="J429" s="122"/>
      <c r="K429" s="122"/>
      <c r="M429" s="122"/>
    </row>
    <row r="430">
      <c r="F430" s="122"/>
      <c r="G430" s="122"/>
      <c r="H430" s="122"/>
      <c r="I430" s="122"/>
      <c r="J430" s="122"/>
      <c r="K430" s="122"/>
      <c r="M430" s="122"/>
    </row>
    <row r="431">
      <c r="F431" s="122"/>
      <c r="G431" s="122"/>
      <c r="H431" s="122"/>
      <c r="I431" s="122"/>
      <c r="J431" s="122"/>
      <c r="K431" s="122"/>
      <c r="M431" s="122"/>
    </row>
    <row r="432">
      <c r="F432" s="122"/>
      <c r="G432" s="122"/>
      <c r="H432" s="122"/>
      <c r="I432" s="122"/>
      <c r="J432" s="122"/>
      <c r="K432" s="122"/>
      <c r="M432" s="122"/>
    </row>
    <row r="433">
      <c r="F433" s="122"/>
      <c r="G433" s="122"/>
      <c r="H433" s="122"/>
      <c r="I433" s="122"/>
      <c r="J433" s="122"/>
      <c r="K433" s="122"/>
      <c r="M433" s="122"/>
    </row>
    <row r="434">
      <c r="F434" s="122"/>
      <c r="G434" s="122"/>
      <c r="H434" s="122"/>
      <c r="I434" s="122"/>
      <c r="J434" s="122"/>
      <c r="K434" s="122"/>
      <c r="M434" s="122"/>
    </row>
    <row r="435">
      <c r="F435" s="122"/>
      <c r="G435" s="122"/>
      <c r="H435" s="122"/>
      <c r="I435" s="122"/>
      <c r="J435" s="122"/>
      <c r="K435" s="122"/>
      <c r="M435" s="122"/>
    </row>
    <row r="436">
      <c r="F436" s="122"/>
      <c r="G436" s="122"/>
      <c r="H436" s="122"/>
      <c r="I436" s="122"/>
      <c r="J436" s="122"/>
      <c r="K436" s="122"/>
      <c r="M436" s="122"/>
    </row>
    <row r="437">
      <c r="F437" s="122"/>
      <c r="G437" s="122"/>
      <c r="H437" s="122"/>
      <c r="I437" s="122"/>
      <c r="J437" s="122"/>
      <c r="K437" s="122"/>
      <c r="M437" s="122"/>
    </row>
    <row r="438">
      <c r="F438" s="122"/>
      <c r="G438" s="122"/>
      <c r="H438" s="122"/>
      <c r="I438" s="122"/>
      <c r="J438" s="122"/>
      <c r="K438" s="122"/>
      <c r="M438" s="122"/>
    </row>
    <row r="439">
      <c r="F439" s="122"/>
      <c r="G439" s="122"/>
      <c r="H439" s="122"/>
      <c r="I439" s="122"/>
      <c r="J439" s="122"/>
      <c r="K439" s="122"/>
      <c r="M439" s="122"/>
    </row>
    <row r="440">
      <c r="F440" s="122"/>
      <c r="G440" s="122"/>
      <c r="H440" s="122"/>
      <c r="I440" s="122"/>
      <c r="J440" s="122"/>
      <c r="K440" s="122"/>
      <c r="M440" s="122"/>
    </row>
    <row r="441">
      <c r="F441" s="122"/>
      <c r="G441" s="122"/>
      <c r="H441" s="122"/>
      <c r="I441" s="122"/>
      <c r="J441" s="122"/>
      <c r="K441" s="122"/>
      <c r="M441" s="122"/>
    </row>
    <row r="442">
      <c r="F442" s="122"/>
      <c r="G442" s="122"/>
      <c r="H442" s="122"/>
      <c r="I442" s="122"/>
      <c r="J442" s="122"/>
      <c r="K442" s="122"/>
      <c r="M442" s="122"/>
    </row>
    <row r="443">
      <c r="F443" s="122"/>
      <c r="G443" s="122"/>
      <c r="H443" s="122"/>
      <c r="I443" s="122"/>
      <c r="J443" s="122"/>
      <c r="K443" s="122"/>
      <c r="M443" s="122"/>
    </row>
    <row r="444">
      <c r="F444" s="122"/>
      <c r="G444" s="122"/>
      <c r="H444" s="122"/>
      <c r="I444" s="122"/>
      <c r="J444" s="122"/>
      <c r="K444" s="122"/>
      <c r="M444" s="122"/>
    </row>
    <row r="445">
      <c r="F445" s="122"/>
      <c r="G445" s="122"/>
      <c r="H445" s="122"/>
      <c r="I445" s="122"/>
      <c r="J445" s="122"/>
      <c r="K445" s="122"/>
      <c r="M445" s="122"/>
    </row>
    <row r="446">
      <c r="F446" s="122"/>
      <c r="G446" s="122"/>
      <c r="H446" s="122"/>
      <c r="I446" s="122"/>
      <c r="J446" s="122"/>
      <c r="K446" s="122"/>
      <c r="M446" s="122"/>
    </row>
    <row r="447">
      <c r="F447" s="122"/>
      <c r="G447" s="122"/>
      <c r="H447" s="122"/>
      <c r="I447" s="122"/>
      <c r="J447" s="122"/>
      <c r="K447" s="122"/>
      <c r="M447" s="122"/>
    </row>
    <row r="448">
      <c r="F448" s="122"/>
      <c r="G448" s="122"/>
      <c r="H448" s="122"/>
      <c r="I448" s="122"/>
      <c r="J448" s="122"/>
      <c r="K448" s="122"/>
      <c r="M448" s="122"/>
    </row>
    <row r="449">
      <c r="F449" s="122"/>
      <c r="G449" s="122"/>
      <c r="H449" s="122"/>
      <c r="I449" s="122"/>
      <c r="J449" s="122"/>
      <c r="K449" s="122"/>
      <c r="M449" s="122"/>
    </row>
    <row r="450">
      <c r="F450" s="122"/>
      <c r="G450" s="122"/>
      <c r="H450" s="122"/>
      <c r="I450" s="122"/>
      <c r="J450" s="122"/>
      <c r="K450" s="122"/>
      <c r="M450" s="122"/>
    </row>
    <row r="451">
      <c r="F451" s="122"/>
      <c r="G451" s="122"/>
      <c r="H451" s="122"/>
      <c r="I451" s="122"/>
      <c r="J451" s="122"/>
      <c r="K451" s="122"/>
      <c r="M451" s="122"/>
    </row>
    <row r="452">
      <c r="F452" s="122"/>
      <c r="G452" s="122"/>
      <c r="H452" s="122"/>
      <c r="I452" s="122"/>
      <c r="J452" s="122"/>
      <c r="K452" s="122"/>
      <c r="M452" s="122"/>
    </row>
    <row r="453">
      <c r="F453" s="122"/>
      <c r="G453" s="122"/>
      <c r="H453" s="122"/>
      <c r="I453" s="122"/>
      <c r="J453" s="122"/>
      <c r="K453" s="122"/>
      <c r="M453" s="122"/>
    </row>
    <row r="454">
      <c r="F454" s="122"/>
      <c r="G454" s="122"/>
      <c r="H454" s="122"/>
      <c r="I454" s="122"/>
      <c r="J454" s="122"/>
      <c r="K454" s="122"/>
      <c r="M454" s="122"/>
    </row>
    <row r="455">
      <c r="F455" s="122"/>
      <c r="G455" s="122"/>
      <c r="H455" s="122"/>
      <c r="I455" s="122"/>
      <c r="J455" s="122"/>
      <c r="K455" s="122"/>
      <c r="M455" s="122"/>
    </row>
    <row r="456">
      <c r="F456" s="122"/>
      <c r="G456" s="122"/>
      <c r="H456" s="122"/>
      <c r="I456" s="122"/>
      <c r="J456" s="122"/>
      <c r="K456" s="122"/>
      <c r="M456" s="122"/>
    </row>
    <row r="457">
      <c r="F457" s="122"/>
      <c r="G457" s="122"/>
      <c r="H457" s="122"/>
      <c r="I457" s="122"/>
      <c r="J457" s="122"/>
      <c r="K457" s="122"/>
      <c r="M457" s="122"/>
    </row>
    <row r="458">
      <c r="F458" s="122"/>
      <c r="G458" s="122"/>
      <c r="H458" s="122"/>
      <c r="I458" s="122"/>
      <c r="J458" s="122"/>
      <c r="K458" s="122"/>
      <c r="M458" s="122"/>
    </row>
    <row r="459">
      <c r="F459" s="122"/>
      <c r="G459" s="122"/>
      <c r="H459" s="122"/>
      <c r="I459" s="122"/>
      <c r="J459" s="122"/>
      <c r="K459" s="122"/>
      <c r="M459" s="122"/>
    </row>
    <row r="460">
      <c r="F460" s="122"/>
      <c r="G460" s="122"/>
      <c r="H460" s="122"/>
      <c r="I460" s="122"/>
      <c r="J460" s="122"/>
      <c r="K460" s="122"/>
      <c r="M460" s="122"/>
    </row>
    <row r="461">
      <c r="F461" s="122"/>
      <c r="G461" s="122"/>
      <c r="H461" s="122"/>
      <c r="I461" s="122"/>
      <c r="J461" s="122"/>
      <c r="K461" s="122"/>
      <c r="M461" s="122"/>
    </row>
    <row r="462">
      <c r="F462" s="122"/>
      <c r="G462" s="122"/>
      <c r="H462" s="122"/>
      <c r="I462" s="122"/>
      <c r="J462" s="122"/>
      <c r="K462" s="122"/>
      <c r="M462" s="122"/>
    </row>
    <row r="463">
      <c r="F463" s="122"/>
      <c r="G463" s="122"/>
      <c r="H463" s="122"/>
      <c r="I463" s="122"/>
      <c r="J463" s="122"/>
      <c r="K463" s="122"/>
      <c r="M463" s="122"/>
    </row>
    <row r="464">
      <c r="F464" s="122"/>
      <c r="G464" s="122"/>
      <c r="H464" s="122"/>
      <c r="I464" s="122"/>
      <c r="J464" s="122"/>
      <c r="K464" s="122"/>
      <c r="M464" s="122"/>
    </row>
    <row r="465">
      <c r="F465" s="122"/>
      <c r="G465" s="122"/>
      <c r="H465" s="122"/>
      <c r="I465" s="122"/>
      <c r="J465" s="122"/>
      <c r="K465" s="122"/>
      <c r="M465" s="122"/>
    </row>
    <row r="466">
      <c r="F466" s="122"/>
      <c r="G466" s="122"/>
      <c r="H466" s="122"/>
      <c r="I466" s="122"/>
      <c r="J466" s="122"/>
      <c r="K466" s="122"/>
      <c r="M466" s="122"/>
    </row>
    <row r="467">
      <c r="F467" s="122"/>
      <c r="G467" s="122"/>
      <c r="H467" s="122"/>
      <c r="I467" s="122"/>
      <c r="J467" s="122"/>
      <c r="K467" s="122"/>
      <c r="M467" s="122"/>
    </row>
    <row r="468">
      <c r="F468" s="122"/>
      <c r="G468" s="122"/>
      <c r="H468" s="122"/>
      <c r="I468" s="122"/>
      <c r="J468" s="122"/>
      <c r="K468" s="122"/>
      <c r="M468" s="122"/>
    </row>
    <row r="469">
      <c r="F469" s="122"/>
      <c r="G469" s="122"/>
      <c r="H469" s="122"/>
      <c r="I469" s="122"/>
      <c r="J469" s="122"/>
      <c r="K469" s="122"/>
      <c r="M469" s="122"/>
    </row>
    <row r="470">
      <c r="F470" s="122"/>
      <c r="G470" s="122"/>
      <c r="H470" s="122"/>
      <c r="I470" s="122"/>
      <c r="J470" s="122"/>
      <c r="K470" s="122"/>
      <c r="M470" s="122"/>
    </row>
    <row r="471">
      <c r="F471" s="122"/>
      <c r="G471" s="122"/>
      <c r="H471" s="122"/>
      <c r="I471" s="122"/>
      <c r="J471" s="122"/>
      <c r="K471" s="122"/>
      <c r="M471" s="122"/>
    </row>
    <row r="472">
      <c r="F472" s="122"/>
      <c r="G472" s="122"/>
      <c r="H472" s="122"/>
      <c r="I472" s="122"/>
      <c r="J472" s="122"/>
      <c r="K472" s="122"/>
      <c r="M472" s="122"/>
    </row>
    <row r="473">
      <c r="F473" s="122"/>
      <c r="G473" s="122"/>
      <c r="H473" s="122"/>
      <c r="I473" s="122"/>
      <c r="J473" s="122"/>
      <c r="K473" s="122"/>
      <c r="M473" s="122"/>
    </row>
    <row r="474">
      <c r="F474" s="122"/>
      <c r="G474" s="122"/>
      <c r="H474" s="122"/>
      <c r="I474" s="122"/>
      <c r="J474" s="122"/>
      <c r="K474" s="122"/>
      <c r="M474" s="122"/>
    </row>
    <row r="475">
      <c r="F475" s="122"/>
      <c r="G475" s="122"/>
      <c r="H475" s="122"/>
      <c r="I475" s="122"/>
      <c r="J475" s="122"/>
      <c r="K475" s="122"/>
      <c r="M475" s="122"/>
    </row>
    <row r="476">
      <c r="F476" s="122"/>
      <c r="G476" s="122"/>
      <c r="H476" s="122"/>
      <c r="I476" s="122"/>
      <c r="J476" s="122"/>
      <c r="K476" s="122"/>
      <c r="M476" s="122"/>
    </row>
    <row r="477">
      <c r="F477" s="122"/>
      <c r="G477" s="122"/>
      <c r="H477" s="122"/>
      <c r="I477" s="122"/>
      <c r="J477" s="122"/>
      <c r="K477" s="122"/>
      <c r="M477" s="122"/>
    </row>
    <row r="478">
      <c r="F478" s="122"/>
      <c r="G478" s="122"/>
      <c r="H478" s="122"/>
      <c r="I478" s="122"/>
      <c r="J478" s="122"/>
      <c r="K478" s="122"/>
      <c r="M478" s="122"/>
    </row>
    <row r="479">
      <c r="F479" s="122"/>
      <c r="G479" s="122"/>
      <c r="H479" s="122"/>
      <c r="I479" s="122"/>
      <c r="J479" s="122"/>
      <c r="K479" s="122"/>
      <c r="M479" s="122"/>
    </row>
    <row r="480">
      <c r="F480" s="122"/>
      <c r="G480" s="122"/>
      <c r="H480" s="122"/>
      <c r="I480" s="122"/>
      <c r="J480" s="122"/>
      <c r="K480" s="122"/>
      <c r="M480" s="122"/>
    </row>
    <row r="481">
      <c r="F481" s="122"/>
      <c r="G481" s="122"/>
      <c r="H481" s="122"/>
      <c r="I481" s="122"/>
      <c r="J481" s="122"/>
      <c r="K481" s="122"/>
      <c r="M481" s="122"/>
    </row>
    <row r="482">
      <c r="F482" s="122"/>
      <c r="G482" s="122"/>
      <c r="H482" s="122"/>
      <c r="I482" s="122"/>
      <c r="J482" s="122"/>
      <c r="K482" s="122"/>
      <c r="M482" s="122"/>
    </row>
    <row r="483">
      <c r="F483" s="122"/>
      <c r="G483" s="122"/>
      <c r="H483" s="122"/>
      <c r="I483" s="122"/>
      <c r="J483" s="122"/>
      <c r="K483" s="122"/>
      <c r="M483" s="122"/>
    </row>
    <row r="484">
      <c r="F484" s="122"/>
      <c r="G484" s="122"/>
      <c r="H484" s="122"/>
      <c r="I484" s="122"/>
      <c r="J484" s="122"/>
      <c r="K484" s="122"/>
      <c r="M484" s="122"/>
    </row>
    <row r="485">
      <c r="F485" s="122"/>
      <c r="G485" s="122"/>
      <c r="H485" s="122"/>
      <c r="I485" s="122"/>
      <c r="J485" s="122"/>
      <c r="K485" s="122"/>
      <c r="M485" s="122"/>
    </row>
    <row r="486">
      <c r="F486" s="122"/>
      <c r="G486" s="122"/>
      <c r="H486" s="122"/>
      <c r="I486" s="122"/>
      <c r="J486" s="122"/>
      <c r="K486" s="122"/>
      <c r="M486" s="122"/>
    </row>
    <row r="487">
      <c r="F487" s="122"/>
      <c r="G487" s="122"/>
      <c r="H487" s="122"/>
      <c r="I487" s="122"/>
      <c r="J487" s="122"/>
      <c r="K487" s="122"/>
      <c r="M487" s="122"/>
    </row>
    <row r="488">
      <c r="F488" s="122"/>
      <c r="G488" s="122"/>
      <c r="H488" s="122"/>
      <c r="I488" s="122"/>
      <c r="J488" s="122"/>
      <c r="K488" s="122"/>
      <c r="M488" s="122"/>
    </row>
    <row r="489">
      <c r="F489" s="122"/>
      <c r="G489" s="122"/>
      <c r="H489" s="122"/>
      <c r="I489" s="122"/>
      <c r="J489" s="122"/>
      <c r="K489" s="122"/>
      <c r="M489" s="122"/>
    </row>
    <row r="490">
      <c r="F490" s="122"/>
      <c r="G490" s="122"/>
      <c r="H490" s="122"/>
      <c r="I490" s="122"/>
      <c r="J490" s="122"/>
      <c r="K490" s="122"/>
      <c r="M490" s="122"/>
    </row>
    <row r="491">
      <c r="F491" s="122"/>
      <c r="G491" s="122"/>
      <c r="H491" s="122"/>
      <c r="I491" s="122"/>
      <c r="J491" s="122"/>
      <c r="K491" s="122"/>
      <c r="M491" s="122"/>
    </row>
    <row r="492">
      <c r="F492" s="122"/>
      <c r="G492" s="122"/>
      <c r="H492" s="122"/>
      <c r="I492" s="122"/>
      <c r="J492" s="122"/>
      <c r="K492" s="122"/>
      <c r="M492" s="122"/>
    </row>
    <row r="493">
      <c r="F493" s="122"/>
      <c r="G493" s="122"/>
      <c r="H493" s="122"/>
      <c r="I493" s="122"/>
      <c r="J493" s="122"/>
      <c r="K493" s="122"/>
      <c r="M493" s="122"/>
    </row>
    <row r="494">
      <c r="F494" s="122"/>
      <c r="G494" s="122"/>
      <c r="H494" s="122"/>
      <c r="I494" s="122"/>
      <c r="J494" s="122"/>
      <c r="K494" s="122"/>
      <c r="M494" s="122"/>
    </row>
    <row r="495">
      <c r="F495" s="122"/>
      <c r="G495" s="122"/>
      <c r="H495" s="122"/>
      <c r="I495" s="122"/>
      <c r="J495" s="122"/>
      <c r="K495" s="122"/>
      <c r="M495" s="122"/>
    </row>
    <row r="496">
      <c r="F496" s="122"/>
      <c r="G496" s="122"/>
      <c r="H496" s="122"/>
      <c r="I496" s="122"/>
      <c r="J496" s="122"/>
      <c r="K496" s="122"/>
      <c r="M496" s="122"/>
    </row>
    <row r="497">
      <c r="F497" s="122"/>
      <c r="G497" s="122"/>
      <c r="H497" s="122"/>
      <c r="I497" s="122"/>
      <c r="J497" s="122"/>
      <c r="K497" s="122"/>
      <c r="M497" s="122"/>
    </row>
    <row r="498">
      <c r="F498" s="122"/>
      <c r="G498" s="122"/>
      <c r="H498" s="122"/>
      <c r="I498" s="122"/>
      <c r="J498" s="122"/>
      <c r="K498" s="122"/>
      <c r="M498" s="122"/>
    </row>
    <row r="499">
      <c r="F499" s="122"/>
      <c r="G499" s="122"/>
      <c r="H499" s="122"/>
      <c r="I499" s="122"/>
      <c r="J499" s="122"/>
      <c r="K499" s="122"/>
      <c r="M499" s="122"/>
    </row>
    <row r="500">
      <c r="F500" s="122"/>
      <c r="G500" s="122"/>
      <c r="H500" s="122"/>
      <c r="I500" s="122"/>
      <c r="J500" s="122"/>
      <c r="K500" s="122"/>
      <c r="M500" s="122"/>
    </row>
    <row r="501">
      <c r="F501" s="122"/>
      <c r="G501" s="122"/>
      <c r="H501" s="122"/>
      <c r="I501" s="122"/>
      <c r="J501" s="122"/>
      <c r="K501" s="122"/>
      <c r="M501" s="122"/>
    </row>
    <row r="502">
      <c r="F502" s="122"/>
      <c r="G502" s="122"/>
      <c r="H502" s="122"/>
      <c r="I502" s="122"/>
      <c r="J502" s="122"/>
      <c r="K502" s="122"/>
      <c r="M502" s="122"/>
    </row>
    <row r="503">
      <c r="F503" s="122"/>
      <c r="G503" s="122"/>
      <c r="H503" s="122"/>
      <c r="I503" s="122"/>
      <c r="J503" s="122"/>
      <c r="K503" s="122"/>
      <c r="M503" s="122"/>
    </row>
    <row r="504">
      <c r="F504" s="122"/>
      <c r="G504" s="122"/>
      <c r="H504" s="122"/>
      <c r="I504" s="122"/>
      <c r="J504" s="122"/>
      <c r="K504" s="122"/>
      <c r="M504" s="122"/>
    </row>
    <row r="505">
      <c r="F505" s="122"/>
      <c r="G505" s="122"/>
      <c r="H505" s="122"/>
      <c r="I505" s="122"/>
      <c r="J505" s="122"/>
      <c r="K505" s="122"/>
      <c r="M505" s="122"/>
    </row>
    <row r="506">
      <c r="F506" s="122"/>
      <c r="G506" s="122"/>
      <c r="H506" s="122"/>
      <c r="I506" s="122"/>
      <c r="J506" s="122"/>
      <c r="K506" s="122"/>
      <c r="M506" s="122"/>
    </row>
    <row r="507">
      <c r="F507" s="122"/>
      <c r="G507" s="122"/>
      <c r="H507" s="122"/>
      <c r="I507" s="122"/>
      <c r="J507" s="122"/>
      <c r="K507" s="122"/>
      <c r="M507" s="122"/>
    </row>
    <row r="508">
      <c r="F508" s="122"/>
      <c r="G508" s="122"/>
      <c r="H508" s="122"/>
      <c r="I508" s="122"/>
      <c r="J508" s="122"/>
      <c r="K508" s="122"/>
      <c r="M508" s="122"/>
    </row>
    <row r="509">
      <c r="F509" s="122"/>
      <c r="G509" s="122"/>
      <c r="H509" s="122"/>
      <c r="I509" s="122"/>
      <c r="J509" s="122"/>
      <c r="K509" s="122"/>
      <c r="M509" s="122"/>
    </row>
    <row r="510">
      <c r="F510" s="122"/>
      <c r="G510" s="122"/>
      <c r="H510" s="122"/>
      <c r="I510" s="122"/>
      <c r="J510" s="122"/>
      <c r="K510" s="122"/>
      <c r="M510" s="122"/>
    </row>
    <row r="511">
      <c r="F511" s="122"/>
      <c r="G511" s="122"/>
      <c r="H511" s="122"/>
      <c r="I511" s="122"/>
      <c r="J511" s="122"/>
      <c r="K511" s="122"/>
      <c r="M511" s="122"/>
    </row>
    <row r="512">
      <c r="F512" s="122"/>
      <c r="G512" s="122"/>
      <c r="H512" s="122"/>
      <c r="I512" s="122"/>
      <c r="J512" s="122"/>
      <c r="K512" s="122"/>
      <c r="M512" s="122"/>
    </row>
    <row r="513">
      <c r="F513" s="122"/>
      <c r="G513" s="122"/>
      <c r="H513" s="122"/>
      <c r="I513" s="122"/>
      <c r="J513" s="122"/>
      <c r="K513" s="122"/>
      <c r="M513" s="122"/>
    </row>
    <row r="514">
      <c r="F514" s="122"/>
      <c r="G514" s="122"/>
      <c r="H514" s="122"/>
      <c r="I514" s="122"/>
      <c r="J514" s="122"/>
      <c r="K514" s="122"/>
      <c r="M514" s="122"/>
    </row>
    <row r="515">
      <c r="F515" s="122"/>
      <c r="G515" s="122"/>
      <c r="H515" s="122"/>
      <c r="I515" s="122"/>
      <c r="J515" s="122"/>
      <c r="K515" s="122"/>
      <c r="M515" s="122"/>
    </row>
    <row r="516">
      <c r="F516" s="122"/>
      <c r="G516" s="122"/>
      <c r="H516" s="122"/>
      <c r="I516" s="122"/>
      <c r="J516" s="122"/>
      <c r="K516" s="122"/>
      <c r="M516" s="122"/>
    </row>
    <row r="517">
      <c r="F517" s="122"/>
      <c r="G517" s="122"/>
      <c r="H517" s="122"/>
      <c r="I517" s="122"/>
      <c r="J517" s="122"/>
      <c r="K517" s="122"/>
      <c r="M517" s="122"/>
    </row>
    <row r="518">
      <c r="F518" s="122"/>
      <c r="G518" s="122"/>
      <c r="H518" s="122"/>
      <c r="I518" s="122"/>
      <c r="J518" s="122"/>
      <c r="K518" s="122"/>
      <c r="M518" s="122"/>
    </row>
    <row r="519">
      <c r="F519" s="122"/>
      <c r="G519" s="122"/>
      <c r="H519" s="122"/>
      <c r="I519" s="122"/>
      <c r="J519" s="122"/>
      <c r="K519" s="122"/>
      <c r="M519" s="122"/>
    </row>
    <row r="520">
      <c r="F520" s="122"/>
      <c r="G520" s="122"/>
      <c r="H520" s="122"/>
      <c r="I520" s="122"/>
      <c r="J520" s="122"/>
      <c r="K520" s="122"/>
      <c r="M520" s="122"/>
    </row>
    <row r="521">
      <c r="F521" s="122"/>
      <c r="G521" s="122"/>
      <c r="H521" s="122"/>
      <c r="I521" s="122"/>
      <c r="J521" s="122"/>
      <c r="K521" s="122"/>
      <c r="M521" s="122"/>
    </row>
    <row r="522">
      <c r="F522" s="122"/>
      <c r="G522" s="122"/>
      <c r="H522" s="122"/>
      <c r="I522" s="122"/>
      <c r="J522" s="122"/>
      <c r="K522" s="122"/>
      <c r="M522" s="122"/>
    </row>
    <row r="523">
      <c r="F523" s="122"/>
      <c r="G523" s="122"/>
      <c r="H523" s="122"/>
      <c r="I523" s="122"/>
      <c r="J523" s="122"/>
      <c r="K523" s="122"/>
      <c r="M523" s="122"/>
    </row>
    <row r="524">
      <c r="F524" s="122"/>
      <c r="G524" s="122"/>
      <c r="H524" s="122"/>
      <c r="I524" s="122"/>
      <c r="J524" s="122"/>
      <c r="K524" s="122"/>
      <c r="M524" s="122"/>
    </row>
    <row r="525">
      <c r="F525" s="122"/>
      <c r="G525" s="122"/>
      <c r="H525" s="122"/>
      <c r="I525" s="122"/>
      <c r="J525" s="122"/>
      <c r="K525" s="122"/>
      <c r="M525" s="122"/>
    </row>
    <row r="526">
      <c r="F526" s="122"/>
      <c r="G526" s="122"/>
      <c r="H526" s="122"/>
      <c r="I526" s="122"/>
      <c r="J526" s="122"/>
      <c r="K526" s="122"/>
      <c r="M526" s="122"/>
    </row>
    <row r="527">
      <c r="F527" s="122"/>
      <c r="G527" s="122"/>
      <c r="H527" s="122"/>
      <c r="I527" s="122"/>
      <c r="J527" s="122"/>
      <c r="K527" s="122"/>
      <c r="M527" s="122"/>
    </row>
    <row r="528">
      <c r="F528" s="122"/>
      <c r="G528" s="122"/>
      <c r="H528" s="122"/>
      <c r="I528" s="122"/>
      <c r="J528" s="122"/>
      <c r="K528" s="122"/>
      <c r="M528" s="122"/>
    </row>
    <row r="529">
      <c r="F529" s="122"/>
      <c r="G529" s="122"/>
      <c r="H529" s="122"/>
      <c r="I529" s="122"/>
      <c r="J529" s="122"/>
      <c r="K529" s="122"/>
      <c r="M529" s="122"/>
    </row>
    <row r="530">
      <c r="F530" s="122"/>
      <c r="G530" s="122"/>
      <c r="H530" s="122"/>
      <c r="I530" s="122"/>
      <c r="J530" s="122"/>
      <c r="K530" s="122"/>
      <c r="M530" s="122"/>
    </row>
    <row r="531">
      <c r="F531" s="122"/>
      <c r="G531" s="122"/>
      <c r="H531" s="122"/>
      <c r="I531" s="122"/>
      <c r="J531" s="122"/>
      <c r="K531" s="122"/>
      <c r="M531" s="122"/>
    </row>
    <row r="532">
      <c r="F532" s="122"/>
      <c r="G532" s="122"/>
      <c r="H532" s="122"/>
      <c r="I532" s="122"/>
      <c r="J532" s="122"/>
      <c r="K532" s="122"/>
      <c r="M532" s="122"/>
    </row>
    <row r="533">
      <c r="F533" s="122"/>
      <c r="G533" s="122"/>
      <c r="H533" s="122"/>
      <c r="I533" s="122"/>
      <c r="J533" s="122"/>
      <c r="K533" s="122"/>
      <c r="M533" s="122"/>
    </row>
    <row r="534">
      <c r="F534" s="122"/>
      <c r="G534" s="122"/>
      <c r="H534" s="122"/>
      <c r="I534" s="122"/>
      <c r="J534" s="122"/>
      <c r="K534" s="122"/>
      <c r="M534" s="122"/>
    </row>
    <row r="535">
      <c r="F535" s="122"/>
      <c r="G535" s="122"/>
      <c r="H535" s="122"/>
      <c r="I535" s="122"/>
      <c r="J535" s="122"/>
      <c r="K535" s="122"/>
      <c r="M535" s="122"/>
    </row>
    <row r="536">
      <c r="F536" s="122"/>
      <c r="G536" s="122"/>
      <c r="H536" s="122"/>
      <c r="I536" s="122"/>
      <c r="J536" s="122"/>
      <c r="K536" s="122"/>
      <c r="M536" s="122"/>
    </row>
    <row r="537">
      <c r="F537" s="122"/>
      <c r="G537" s="122"/>
      <c r="H537" s="122"/>
      <c r="I537" s="122"/>
      <c r="J537" s="122"/>
      <c r="K537" s="122"/>
      <c r="M537" s="122"/>
    </row>
    <row r="538">
      <c r="F538" s="122"/>
      <c r="G538" s="122"/>
      <c r="H538" s="122"/>
      <c r="I538" s="122"/>
      <c r="J538" s="122"/>
      <c r="K538" s="122"/>
      <c r="M538" s="122"/>
    </row>
    <row r="539">
      <c r="F539" s="122"/>
      <c r="G539" s="122"/>
      <c r="H539" s="122"/>
      <c r="I539" s="122"/>
      <c r="J539" s="122"/>
      <c r="K539" s="122"/>
      <c r="M539" s="122"/>
    </row>
    <row r="540">
      <c r="F540" s="122"/>
      <c r="G540" s="122"/>
      <c r="H540" s="122"/>
      <c r="I540" s="122"/>
      <c r="J540" s="122"/>
      <c r="K540" s="122"/>
      <c r="M540" s="122"/>
    </row>
    <row r="541">
      <c r="F541" s="122"/>
      <c r="G541" s="122"/>
      <c r="H541" s="122"/>
      <c r="I541" s="122"/>
      <c r="J541" s="122"/>
      <c r="K541" s="122"/>
      <c r="M541" s="122"/>
    </row>
    <row r="542">
      <c r="F542" s="122"/>
      <c r="G542" s="122"/>
      <c r="H542" s="122"/>
      <c r="I542" s="122"/>
      <c r="J542" s="122"/>
      <c r="K542" s="122"/>
      <c r="M542" s="122"/>
    </row>
    <row r="543">
      <c r="F543" s="122"/>
      <c r="G543" s="122"/>
      <c r="H543" s="122"/>
      <c r="I543" s="122"/>
      <c r="J543" s="122"/>
      <c r="K543" s="122"/>
      <c r="M543" s="122"/>
    </row>
    <row r="544">
      <c r="F544" s="122"/>
      <c r="G544" s="122"/>
      <c r="H544" s="122"/>
      <c r="I544" s="122"/>
      <c r="J544" s="122"/>
      <c r="K544" s="122"/>
      <c r="M544" s="122"/>
    </row>
    <row r="545">
      <c r="F545" s="122"/>
      <c r="G545" s="122"/>
      <c r="H545" s="122"/>
      <c r="I545" s="122"/>
      <c r="J545" s="122"/>
      <c r="K545" s="122"/>
      <c r="M545" s="122"/>
    </row>
    <row r="546">
      <c r="F546" s="122"/>
      <c r="G546" s="122"/>
      <c r="H546" s="122"/>
      <c r="I546" s="122"/>
      <c r="J546" s="122"/>
      <c r="K546" s="122"/>
      <c r="M546" s="122"/>
    </row>
    <row r="547">
      <c r="F547" s="122"/>
      <c r="G547" s="122"/>
      <c r="H547" s="122"/>
      <c r="I547" s="122"/>
      <c r="J547" s="122"/>
      <c r="K547" s="122"/>
      <c r="M547" s="122"/>
    </row>
    <row r="548">
      <c r="F548" s="122"/>
      <c r="G548" s="122"/>
      <c r="H548" s="122"/>
      <c r="I548" s="122"/>
      <c r="J548" s="122"/>
      <c r="K548" s="122"/>
      <c r="M548" s="122"/>
    </row>
    <row r="549">
      <c r="F549" s="122"/>
      <c r="G549" s="122"/>
      <c r="H549" s="122"/>
      <c r="I549" s="122"/>
      <c r="J549" s="122"/>
      <c r="K549" s="122"/>
      <c r="M549" s="122"/>
    </row>
    <row r="550">
      <c r="F550" s="122"/>
      <c r="G550" s="122"/>
      <c r="H550" s="122"/>
      <c r="I550" s="122"/>
      <c r="J550" s="122"/>
      <c r="K550" s="122"/>
      <c r="M550" s="122"/>
    </row>
    <row r="551">
      <c r="F551" s="122"/>
      <c r="G551" s="122"/>
      <c r="H551" s="122"/>
      <c r="I551" s="122"/>
      <c r="J551" s="122"/>
      <c r="K551" s="122"/>
      <c r="M551" s="122"/>
    </row>
    <row r="552">
      <c r="F552" s="122"/>
      <c r="G552" s="122"/>
      <c r="H552" s="122"/>
      <c r="I552" s="122"/>
      <c r="J552" s="122"/>
      <c r="K552" s="122"/>
      <c r="M552" s="122"/>
    </row>
    <row r="553">
      <c r="F553" s="122"/>
      <c r="G553" s="122"/>
      <c r="H553" s="122"/>
      <c r="I553" s="122"/>
      <c r="J553" s="122"/>
      <c r="K553" s="122"/>
      <c r="M553" s="122"/>
    </row>
    <row r="554">
      <c r="F554" s="122"/>
      <c r="G554" s="122"/>
      <c r="H554" s="122"/>
      <c r="I554" s="122"/>
      <c r="J554" s="122"/>
      <c r="K554" s="122"/>
      <c r="M554" s="122"/>
    </row>
    <row r="555">
      <c r="F555" s="122"/>
      <c r="G555" s="122"/>
      <c r="H555" s="122"/>
      <c r="I555" s="122"/>
      <c r="J555" s="122"/>
      <c r="K555" s="122"/>
      <c r="M555" s="122"/>
    </row>
    <row r="556">
      <c r="F556" s="122"/>
      <c r="G556" s="122"/>
      <c r="H556" s="122"/>
      <c r="I556" s="122"/>
      <c r="J556" s="122"/>
      <c r="K556" s="122"/>
      <c r="M556" s="122"/>
    </row>
    <row r="557">
      <c r="F557" s="122"/>
      <c r="G557" s="122"/>
      <c r="H557" s="122"/>
      <c r="I557" s="122"/>
      <c r="J557" s="122"/>
      <c r="K557" s="122"/>
      <c r="M557" s="122"/>
    </row>
    <row r="558">
      <c r="F558" s="122"/>
      <c r="G558" s="122"/>
      <c r="H558" s="122"/>
      <c r="I558" s="122"/>
      <c r="J558" s="122"/>
      <c r="K558" s="122"/>
      <c r="M558" s="122"/>
    </row>
    <row r="559">
      <c r="F559" s="122"/>
      <c r="G559" s="122"/>
      <c r="H559" s="122"/>
      <c r="I559" s="122"/>
      <c r="J559" s="122"/>
      <c r="K559" s="122"/>
      <c r="M559" s="122"/>
    </row>
    <row r="560">
      <c r="F560" s="122"/>
      <c r="G560" s="122"/>
      <c r="H560" s="122"/>
      <c r="I560" s="122"/>
      <c r="J560" s="122"/>
      <c r="K560" s="122"/>
      <c r="M560" s="122"/>
    </row>
    <row r="561">
      <c r="F561" s="122"/>
      <c r="G561" s="122"/>
      <c r="H561" s="122"/>
      <c r="I561" s="122"/>
      <c r="J561" s="122"/>
      <c r="K561" s="122"/>
      <c r="M561" s="122"/>
    </row>
    <row r="562">
      <c r="F562" s="122"/>
      <c r="G562" s="122"/>
      <c r="H562" s="122"/>
      <c r="I562" s="122"/>
      <c r="J562" s="122"/>
      <c r="K562" s="122"/>
      <c r="M562" s="122"/>
    </row>
    <row r="563">
      <c r="F563" s="122"/>
      <c r="G563" s="122"/>
      <c r="H563" s="122"/>
      <c r="I563" s="122"/>
      <c r="J563" s="122"/>
      <c r="K563" s="122"/>
      <c r="M563" s="122"/>
    </row>
    <row r="564">
      <c r="F564" s="122"/>
      <c r="G564" s="122"/>
      <c r="H564" s="122"/>
      <c r="I564" s="122"/>
      <c r="J564" s="122"/>
      <c r="K564" s="122"/>
      <c r="M564" s="122"/>
    </row>
    <row r="565">
      <c r="F565" s="122"/>
      <c r="G565" s="122"/>
      <c r="H565" s="122"/>
      <c r="I565" s="122"/>
      <c r="J565" s="122"/>
      <c r="K565" s="122"/>
      <c r="M565" s="122"/>
    </row>
    <row r="566">
      <c r="F566" s="122"/>
      <c r="G566" s="122"/>
      <c r="H566" s="122"/>
      <c r="I566" s="122"/>
      <c r="J566" s="122"/>
      <c r="K566" s="122"/>
      <c r="M566" s="122"/>
    </row>
    <row r="567">
      <c r="F567" s="122"/>
      <c r="G567" s="122"/>
      <c r="H567" s="122"/>
      <c r="I567" s="122"/>
      <c r="J567" s="122"/>
      <c r="K567" s="122"/>
      <c r="M567" s="122"/>
    </row>
    <row r="568">
      <c r="F568" s="122"/>
      <c r="G568" s="122"/>
      <c r="H568" s="122"/>
      <c r="I568" s="122"/>
      <c r="J568" s="122"/>
      <c r="K568" s="122"/>
      <c r="M568" s="122"/>
    </row>
    <row r="569">
      <c r="F569" s="122"/>
      <c r="G569" s="122"/>
      <c r="H569" s="122"/>
      <c r="I569" s="122"/>
      <c r="J569" s="122"/>
      <c r="K569" s="122"/>
      <c r="M569" s="122"/>
    </row>
    <row r="570">
      <c r="F570" s="122"/>
      <c r="G570" s="122"/>
      <c r="H570" s="122"/>
      <c r="I570" s="122"/>
      <c r="J570" s="122"/>
      <c r="K570" s="122"/>
      <c r="M570" s="122"/>
    </row>
    <row r="571">
      <c r="F571" s="122"/>
      <c r="G571" s="122"/>
      <c r="H571" s="122"/>
      <c r="I571" s="122"/>
      <c r="J571" s="122"/>
      <c r="K571" s="122"/>
      <c r="M571" s="122"/>
    </row>
    <row r="572">
      <c r="F572" s="122"/>
      <c r="G572" s="122"/>
      <c r="H572" s="122"/>
      <c r="I572" s="122"/>
      <c r="J572" s="122"/>
      <c r="K572" s="122"/>
      <c r="M572" s="122"/>
    </row>
    <row r="573">
      <c r="F573" s="122"/>
      <c r="G573" s="122"/>
      <c r="H573" s="122"/>
      <c r="I573" s="122"/>
      <c r="J573" s="122"/>
      <c r="K573" s="122"/>
      <c r="M573" s="122"/>
    </row>
    <row r="574">
      <c r="F574" s="122"/>
      <c r="G574" s="122"/>
      <c r="H574" s="122"/>
      <c r="I574" s="122"/>
      <c r="J574" s="122"/>
      <c r="K574" s="122"/>
      <c r="M574" s="122"/>
    </row>
    <row r="575">
      <c r="F575" s="122"/>
      <c r="G575" s="122"/>
      <c r="H575" s="122"/>
      <c r="I575" s="122"/>
      <c r="J575" s="122"/>
      <c r="K575" s="122"/>
      <c r="M575" s="122"/>
    </row>
    <row r="576">
      <c r="F576" s="122"/>
      <c r="G576" s="122"/>
      <c r="H576" s="122"/>
      <c r="I576" s="122"/>
      <c r="J576" s="122"/>
      <c r="K576" s="122"/>
      <c r="M576" s="122"/>
    </row>
    <row r="577">
      <c r="F577" s="122"/>
      <c r="G577" s="122"/>
      <c r="H577" s="122"/>
      <c r="I577" s="122"/>
      <c r="J577" s="122"/>
      <c r="K577" s="122"/>
      <c r="M577" s="122"/>
    </row>
    <row r="578">
      <c r="F578" s="122"/>
      <c r="G578" s="122"/>
      <c r="H578" s="122"/>
      <c r="I578" s="122"/>
      <c r="J578" s="122"/>
      <c r="K578" s="122"/>
      <c r="M578" s="122"/>
    </row>
    <row r="579">
      <c r="F579" s="122"/>
      <c r="G579" s="122"/>
      <c r="H579" s="122"/>
      <c r="I579" s="122"/>
      <c r="J579" s="122"/>
      <c r="K579" s="122"/>
      <c r="M579" s="122"/>
    </row>
    <row r="580">
      <c r="F580" s="122"/>
      <c r="G580" s="122"/>
      <c r="H580" s="122"/>
      <c r="I580" s="122"/>
      <c r="J580" s="122"/>
      <c r="K580" s="122"/>
      <c r="M580" s="122"/>
    </row>
    <row r="581">
      <c r="F581" s="122"/>
      <c r="G581" s="122"/>
      <c r="H581" s="122"/>
      <c r="I581" s="122"/>
      <c r="J581" s="122"/>
      <c r="K581" s="122"/>
      <c r="M581" s="122"/>
    </row>
    <row r="582">
      <c r="F582" s="122"/>
      <c r="G582" s="122"/>
      <c r="H582" s="122"/>
      <c r="I582" s="122"/>
      <c r="J582" s="122"/>
      <c r="K582" s="122"/>
      <c r="M582" s="122"/>
    </row>
    <row r="583">
      <c r="F583" s="122"/>
      <c r="G583" s="122"/>
      <c r="H583" s="122"/>
      <c r="I583" s="122"/>
      <c r="J583" s="122"/>
      <c r="K583" s="122"/>
      <c r="M583" s="122"/>
    </row>
    <row r="584">
      <c r="F584" s="122"/>
      <c r="G584" s="122"/>
      <c r="H584" s="122"/>
      <c r="I584" s="122"/>
      <c r="J584" s="122"/>
      <c r="K584" s="122"/>
      <c r="M584" s="122"/>
    </row>
    <row r="585">
      <c r="F585" s="122"/>
      <c r="G585" s="122"/>
      <c r="H585" s="122"/>
      <c r="I585" s="122"/>
      <c r="J585" s="122"/>
      <c r="K585" s="122"/>
      <c r="M585" s="122"/>
    </row>
    <row r="586">
      <c r="F586" s="122"/>
      <c r="G586" s="122"/>
      <c r="H586" s="122"/>
      <c r="I586" s="122"/>
      <c r="J586" s="122"/>
      <c r="K586" s="122"/>
      <c r="M586" s="122"/>
    </row>
    <row r="587">
      <c r="F587" s="122"/>
      <c r="G587" s="122"/>
      <c r="H587" s="122"/>
      <c r="I587" s="122"/>
      <c r="J587" s="122"/>
      <c r="K587" s="122"/>
      <c r="M587" s="122"/>
    </row>
    <row r="588">
      <c r="F588" s="122"/>
      <c r="G588" s="122"/>
      <c r="H588" s="122"/>
      <c r="I588" s="122"/>
      <c r="J588" s="122"/>
      <c r="K588" s="122"/>
      <c r="M588" s="122"/>
    </row>
    <row r="589">
      <c r="F589" s="122"/>
      <c r="G589" s="122"/>
      <c r="H589" s="122"/>
      <c r="I589" s="122"/>
      <c r="J589" s="122"/>
      <c r="K589" s="122"/>
      <c r="M589" s="122"/>
    </row>
    <row r="590">
      <c r="F590" s="122"/>
      <c r="G590" s="122"/>
      <c r="H590" s="122"/>
      <c r="I590" s="122"/>
      <c r="J590" s="122"/>
      <c r="K590" s="122"/>
      <c r="M590" s="122"/>
    </row>
    <row r="591">
      <c r="F591" s="122"/>
      <c r="G591" s="122"/>
      <c r="H591" s="122"/>
      <c r="I591" s="122"/>
      <c r="J591" s="122"/>
      <c r="K591" s="122"/>
      <c r="M591" s="122"/>
    </row>
    <row r="592">
      <c r="F592" s="122"/>
      <c r="G592" s="122"/>
      <c r="H592" s="122"/>
      <c r="I592" s="122"/>
      <c r="J592" s="122"/>
      <c r="K592" s="122"/>
      <c r="M592" s="122"/>
    </row>
    <row r="593">
      <c r="F593" s="122"/>
      <c r="G593" s="122"/>
      <c r="H593" s="122"/>
      <c r="I593" s="122"/>
      <c r="J593" s="122"/>
      <c r="K593" s="122"/>
      <c r="M593" s="122"/>
    </row>
    <row r="594">
      <c r="F594" s="122"/>
      <c r="G594" s="122"/>
      <c r="H594" s="122"/>
      <c r="I594" s="122"/>
      <c r="J594" s="122"/>
      <c r="K594" s="122"/>
      <c r="M594" s="122"/>
    </row>
    <row r="595">
      <c r="F595" s="122"/>
      <c r="G595" s="122"/>
      <c r="H595" s="122"/>
      <c r="I595" s="122"/>
      <c r="J595" s="122"/>
      <c r="K595" s="122"/>
      <c r="M595" s="122"/>
    </row>
    <row r="596">
      <c r="F596" s="122"/>
      <c r="G596" s="122"/>
      <c r="H596" s="122"/>
      <c r="I596" s="122"/>
      <c r="J596" s="122"/>
      <c r="K596" s="122"/>
      <c r="M596" s="122"/>
    </row>
    <row r="597">
      <c r="F597" s="122"/>
      <c r="G597" s="122"/>
      <c r="H597" s="122"/>
      <c r="I597" s="122"/>
      <c r="J597" s="122"/>
      <c r="K597" s="122"/>
      <c r="M597" s="122"/>
    </row>
    <row r="598">
      <c r="F598" s="122"/>
      <c r="G598" s="122"/>
      <c r="H598" s="122"/>
      <c r="I598" s="122"/>
      <c r="J598" s="122"/>
      <c r="K598" s="122"/>
      <c r="M598" s="122"/>
    </row>
    <row r="599">
      <c r="F599" s="122"/>
      <c r="G599" s="122"/>
      <c r="H599" s="122"/>
      <c r="I599" s="122"/>
      <c r="J599" s="122"/>
      <c r="K599" s="122"/>
      <c r="M599" s="122"/>
    </row>
    <row r="600">
      <c r="F600" s="122"/>
      <c r="G600" s="122"/>
      <c r="H600" s="122"/>
      <c r="I600" s="122"/>
      <c r="J600" s="122"/>
      <c r="K600" s="122"/>
      <c r="M600" s="122"/>
    </row>
    <row r="601">
      <c r="F601" s="122"/>
      <c r="G601" s="122"/>
      <c r="H601" s="122"/>
      <c r="I601" s="122"/>
      <c r="J601" s="122"/>
      <c r="K601" s="122"/>
      <c r="M601" s="122"/>
    </row>
    <row r="602">
      <c r="F602" s="122"/>
      <c r="G602" s="122"/>
      <c r="H602" s="122"/>
      <c r="I602" s="122"/>
      <c r="J602" s="122"/>
      <c r="K602" s="122"/>
      <c r="M602" s="122"/>
    </row>
    <row r="603">
      <c r="F603" s="122"/>
      <c r="G603" s="122"/>
      <c r="H603" s="122"/>
      <c r="I603" s="122"/>
      <c r="J603" s="122"/>
      <c r="K603" s="122"/>
      <c r="M603" s="122"/>
    </row>
    <row r="604">
      <c r="F604" s="122"/>
      <c r="G604" s="122"/>
      <c r="H604" s="122"/>
      <c r="I604" s="122"/>
      <c r="J604" s="122"/>
      <c r="K604" s="122"/>
      <c r="M604" s="122"/>
    </row>
    <row r="605">
      <c r="F605" s="122"/>
      <c r="G605" s="122"/>
      <c r="H605" s="122"/>
      <c r="I605" s="122"/>
      <c r="J605" s="122"/>
      <c r="K605" s="122"/>
      <c r="M605" s="122"/>
    </row>
    <row r="606">
      <c r="F606" s="122"/>
      <c r="G606" s="122"/>
      <c r="H606" s="122"/>
      <c r="I606" s="122"/>
      <c r="J606" s="122"/>
      <c r="K606" s="122"/>
      <c r="M606" s="122"/>
    </row>
    <row r="607">
      <c r="F607" s="122"/>
      <c r="G607" s="122"/>
      <c r="H607" s="122"/>
      <c r="I607" s="122"/>
      <c r="J607" s="122"/>
      <c r="K607" s="122"/>
      <c r="M607" s="122"/>
    </row>
    <row r="608">
      <c r="F608" s="122"/>
      <c r="G608" s="122"/>
      <c r="H608" s="122"/>
      <c r="I608" s="122"/>
      <c r="J608" s="122"/>
      <c r="K608" s="122"/>
      <c r="M608" s="122"/>
    </row>
    <row r="609">
      <c r="F609" s="122"/>
      <c r="G609" s="122"/>
      <c r="H609" s="122"/>
      <c r="I609" s="122"/>
      <c r="J609" s="122"/>
      <c r="K609" s="122"/>
      <c r="M609" s="122"/>
    </row>
    <row r="610">
      <c r="F610" s="122"/>
      <c r="G610" s="122"/>
      <c r="H610" s="122"/>
      <c r="I610" s="122"/>
      <c r="J610" s="122"/>
      <c r="K610" s="122"/>
      <c r="M610" s="122"/>
    </row>
    <row r="611">
      <c r="F611" s="122"/>
      <c r="G611" s="122"/>
      <c r="H611" s="122"/>
      <c r="I611" s="122"/>
      <c r="J611" s="122"/>
      <c r="K611" s="122"/>
      <c r="M611" s="122"/>
    </row>
    <row r="612">
      <c r="F612" s="122"/>
      <c r="G612" s="122"/>
      <c r="H612" s="122"/>
      <c r="I612" s="122"/>
      <c r="J612" s="122"/>
      <c r="K612" s="122"/>
      <c r="M612" s="122"/>
    </row>
    <row r="613">
      <c r="F613" s="122"/>
      <c r="G613" s="122"/>
      <c r="H613" s="122"/>
      <c r="I613" s="122"/>
      <c r="J613" s="122"/>
      <c r="K613" s="122"/>
      <c r="M613" s="122"/>
    </row>
    <row r="614">
      <c r="F614" s="122"/>
      <c r="G614" s="122"/>
      <c r="H614" s="122"/>
      <c r="I614" s="122"/>
      <c r="J614" s="122"/>
      <c r="K614" s="122"/>
      <c r="M614" s="122"/>
    </row>
    <row r="615">
      <c r="F615" s="122"/>
      <c r="G615" s="122"/>
      <c r="H615" s="122"/>
      <c r="I615" s="122"/>
      <c r="J615" s="122"/>
      <c r="K615" s="122"/>
      <c r="M615" s="122"/>
    </row>
    <row r="616">
      <c r="F616" s="122"/>
      <c r="G616" s="122"/>
      <c r="H616" s="122"/>
      <c r="I616" s="122"/>
      <c r="J616" s="122"/>
      <c r="K616" s="122"/>
      <c r="M616" s="122"/>
    </row>
    <row r="617">
      <c r="F617" s="122"/>
      <c r="G617" s="122"/>
      <c r="H617" s="122"/>
      <c r="I617" s="122"/>
      <c r="J617" s="122"/>
      <c r="K617" s="122"/>
      <c r="M617" s="122"/>
    </row>
    <row r="618">
      <c r="F618" s="122"/>
      <c r="G618" s="122"/>
      <c r="H618" s="122"/>
      <c r="I618" s="122"/>
      <c r="J618" s="122"/>
      <c r="K618" s="122"/>
      <c r="M618" s="122"/>
    </row>
    <row r="619">
      <c r="F619" s="122"/>
      <c r="G619" s="122"/>
      <c r="H619" s="122"/>
      <c r="I619" s="122"/>
      <c r="J619" s="122"/>
      <c r="K619" s="122"/>
      <c r="M619" s="122"/>
    </row>
    <row r="620">
      <c r="F620" s="122"/>
      <c r="G620" s="122"/>
      <c r="H620" s="122"/>
      <c r="I620" s="122"/>
      <c r="J620" s="122"/>
      <c r="K620" s="122"/>
      <c r="M620" s="122"/>
    </row>
    <row r="621">
      <c r="F621" s="122"/>
      <c r="G621" s="122"/>
      <c r="H621" s="122"/>
      <c r="I621" s="122"/>
      <c r="J621" s="122"/>
      <c r="K621" s="122"/>
      <c r="M621" s="122"/>
    </row>
    <row r="622">
      <c r="F622" s="122"/>
      <c r="G622" s="122"/>
      <c r="H622" s="122"/>
      <c r="I622" s="122"/>
      <c r="J622" s="122"/>
      <c r="K622" s="122"/>
      <c r="M622" s="122"/>
    </row>
    <row r="623">
      <c r="F623" s="122"/>
      <c r="G623" s="122"/>
      <c r="H623" s="122"/>
      <c r="I623" s="122"/>
      <c r="J623" s="122"/>
      <c r="K623" s="122"/>
      <c r="M623" s="122"/>
    </row>
    <row r="624">
      <c r="F624" s="122"/>
      <c r="G624" s="122"/>
      <c r="H624" s="122"/>
      <c r="I624" s="122"/>
      <c r="J624" s="122"/>
      <c r="K624" s="122"/>
      <c r="M624" s="122"/>
    </row>
    <row r="625">
      <c r="F625" s="122"/>
      <c r="G625" s="122"/>
      <c r="H625" s="122"/>
      <c r="I625" s="122"/>
      <c r="J625" s="122"/>
      <c r="K625" s="122"/>
      <c r="M625" s="122"/>
    </row>
    <row r="626">
      <c r="F626" s="122"/>
      <c r="G626" s="122"/>
      <c r="H626" s="122"/>
      <c r="I626" s="122"/>
      <c r="J626" s="122"/>
      <c r="K626" s="122"/>
      <c r="M626" s="122"/>
    </row>
    <row r="627">
      <c r="F627" s="122"/>
      <c r="G627" s="122"/>
      <c r="H627" s="122"/>
      <c r="I627" s="122"/>
      <c r="J627" s="122"/>
      <c r="K627" s="122"/>
      <c r="M627" s="122"/>
    </row>
    <row r="628">
      <c r="F628" s="122"/>
      <c r="G628" s="122"/>
      <c r="H628" s="122"/>
      <c r="I628" s="122"/>
      <c r="J628" s="122"/>
      <c r="K628" s="122"/>
      <c r="M628" s="122"/>
    </row>
    <row r="629">
      <c r="F629" s="122"/>
      <c r="G629" s="122"/>
      <c r="H629" s="122"/>
      <c r="I629" s="122"/>
      <c r="J629" s="122"/>
      <c r="K629" s="122"/>
      <c r="M629" s="122"/>
    </row>
    <row r="630">
      <c r="F630" s="122"/>
      <c r="G630" s="122"/>
      <c r="H630" s="122"/>
      <c r="I630" s="122"/>
      <c r="J630" s="122"/>
      <c r="K630" s="122"/>
      <c r="M630" s="122"/>
    </row>
    <row r="631">
      <c r="F631" s="122"/>
      <c r="G631" s="122"/>
      <c r="H631" s="122"/>
      <c r="I631" s="122"/>
      <c r="J631" s="122"/>
      <c r="K631" s="122"/>
      <c r="M631" s="122"/>
    </row>
    <row r="632">
      <c r="F632" s="122"/>
      <c r="G632" s="122"/>
      <c r="H632" s="122"/>
      <c r="I632" s="122"/>
      <c r="J632" s="122"/>
      <c r="K632" s="122"/>
      <c r="M632" s="122"/>
    </row>
    <row r="633">
      <c r="F633" s="122"/>
      <c r="G633" s="122"/>
      <c r="H633" s="122"/>
      <c r="I633" s="122"/>
      <c r="J633" s="122"/>
      <c r="K633" s="122"/>
      <c r="M633" s="122"/>
    </row>
    <row r="634">
      <c r="F634" s="122"/>
      <c r="G634" s="122"/>
      <c r="H634" s="122"/>
      <c r="I634" s="122"/>
      <c r="J634" s="122"/>
      <c r="K634" s="122"/>
      <c r="M634" s="122"/>
    </row>
    <row r="635">
      <c r="F635" s="122"/>
      <c r="G635" s="122"/>
      <c r="H635" s="122"/>
      <c r="I635" s="122"/>
      <c r="J635" s="122"/>
      <c r="K635" s="122"/>
      <c r="M635" s="122"/>
    </row>
    <row r="636">
      <c r="F636" s="122"/>
      <c r="G636" s="122"/>
      <c r="H636" s="122"/>
      <c r="I636" s="122"/>
      <c r="J636" s="122"/>
      <c r="K636" s="122"/>
      <c r="M636" s="122"/>
    </row>
    <row r="637">
      <c r="F637" s="122"/>
      <c r="G637" s="122"/>
      <c r="H637" s="122"/>
      <c r="I637" s="122"/>
      <c r="J637" s="122"/>
      <c r="K637" s="122"/>
      <c r="M637" s="122"/>
    </row>
    <row r="638">
      <c r="F638" s="122"/>
      <c r="G638" s="122"/>
      <c r="H638" s="122"/>
      <c r="I638" s="122"/>
      <c r="J638" s="122"/>
      <c r="K638" s="122"/>
      <c r="M638" s="122"/>
    </row>
    <row r="639">
      <c r="F639" s="122"/>
      <c r="G639" s="122"/>
      <c r="H639" s="122"/>
      <c r="I639" s="122"/>
      <c r="J639" s="122"/>
      <c r="K639" s="122"/>
      <c r="M639" s="122"/>
    </row>
    <row r="640">
      <c r="F640" s="122"/>
      <c r="G640" s="122"/>
      <c r="H640" s="122"/>
      <c r="I640" s="122"/>
      <c r="J640" s="122"/>
      <c r="K640" s="122"/>
      <c r="M640" s="122"/>
    </row>
    <row r="641">
      <c r="F641" s="122"/>
      <c r="G641" s="122"/>
      <c r="H641" s="122"/>
      <c r="I641" s="122"/>
      <c r="J641" s="122"/>
      <c r="K641" s="122"/>
      <c r="M641" s="122"/>
    </row>
    <row r="642">
      <c r="F642" s="122"/>
      <c r="G642" s="122"/>
      <c r="H642" s="122"/>
      <c r="I642" s="122"/>
      <c r="J642" s="122"/>
      <c r="K642" s="122"/>
      <c r="M642" s="122"/>
    </row>
    <row r="643">
      <c r="F643" s="122"/>
      <c r="G643" s="122"/>
      <c r="H643" s="122"/>
      <c r="I643" s="122"/>
      <c r="J643" s="122"/>
      <c r="K643" s="122"/>
      <c r="M643" s="122"/>
    </row>
    <row r="644">
      <c r="F644" s="122"/>
      <c r="G644" s="122"/>
      <c r="H644" s="122"/>
      <c r="I644" s="122"/>
      <c r="J644" s="122"/>
      <c r="K644" s="122"/>
      <c r="M644" s="122"/>
    </row>
    <row r="645">
      <c r="F645" s="122"/>
      <c r="G645" s="122"/>
      <c r="H645" s="122"/>
      <c r="I645" s="122"/>
      <c r="J645" s="122"/>
      <c r="K645" s="122"/>
      <c r="M645" s="122"/>
    </row>
    <row r="646">
      <c r="F646" s="122"/>
      <c r="G646" s="122"/>
      <c r="H646" s="122"/>
      <c r="I646" s="122"/>
      <c r="J646" s="122"/>
      <c r="K646" s="122"/>
      <c r="M646" s="122"/>
    </row>
    <row r="647">
      <c r="F647" s="122"/>
      <c r="G647" s="122"/>
      <c r="H647" s="122"/>
      <c r="I647" s="122"/>
      <c r="J647" s="122"/>
      <c r="K647" s="122"/>
      <c r="M647" s="122"/>
    </row>
    <row r="648">
      <c r="F648" s="122"/>
      <c r="G648" s="122"/>
      <c r="H648" s="122"/>
      <c r="I648" s="122"/>
      <c r="J648" s="122"/>
      <c r="K648" s="122"/>
      <c r="M648" s="122"/>
    </row>
    <row r="649">
      <c r="F649" s="122"/>
      <c r="G649" s="122"/>
      <c r="H649" s="122"/>
      <c r="I649" s="122"/>
      <c r="J649" s="122"/>
      <c r="K649" s="122"/>
      <c r="M649" s="122"/>
    </row>
    <row r="650">
      <c r="F650" s="122"/>
      <c r="G650" s="122"/>
      <c r="H650" s="122"/>
      <c r="I650" s="122"/>
      <c r="J650" s="122"/>
      <c r="K650" s="122"/>
      <c r="M650" s="122"/>
    </row>
    <row r="651">
      <c r="F651" s="122"/>
      <c r="G651" s="122"/>
      <c r="H651" s="122"/>
      <c r="I651" s="122"/>
      <c r="J651" s="122"/>
      <c r="K651" s="122"/>
      <c r="M651" s="122"/>
    </row>
    <row r="652">
      <c r="F652" s="122"/>
      <c r="G652" s="122"/>
      <c r="H652" s="122"/>
      <c r="I652" s="122"/>
      <c r="J652" s="122"/>
      <c r="K652" s="122"/>
      <c r="M652" s="122"/>
    </row>
    <row r="653">
      <c r="F653" s="122"/>
      <c r="G653" s="122"/>
      <c r="H653" s="122"/>
      <c r="I653" s="122"/>
      <c r="J653" s="122"/>
      <c r="K653" s="122"/>
      <c r="M653" s="122"/>
    </row>
    <row r="654">
      <c r="F654" s="122"/>
      <c r="G654" s="122"/>
      <c r="H654" s="122"/>
      <c r="I654" s="122"/>
      <c r="J654" s="122"/>
      <c r="K654" s="122"/>
      <c r="M654" s="122"/>
    </row>
    <row r="655">
      <c r="F655" s="122"/>
      <c r="G655" s="122"/>
      <c r="H655" s="122"/>
      <c r="I655" s="122"/>
      <c r="J655" s="122"/>
      <c r="K655" s="122"/>
      <c r="M655" s="122"/>
    </row>
    <row r="656">
      <c r="F656" s="122"/>
      <c r="G656" s="122"/>
      <c r="H656" s="122"/>
      <c r="I656" s="122"/>
      <c r="J656" s="122"/>
      <c r="K656" s="122"/>
      <c r="M656" s="122"/>
    </row>
    <row r="657">
      <c r="F657" s="122"/>
      <c r="G657" s="122"/>
      <c r="H657" s="122"/>
      <c r="I657" s="122"/>
      <c r="J657" s="122"/>
      <c r="K657" s="122"/>
      <c r="M657" s="122"/>
    </row>
    <row r="658">
      <c r="F658" s="122"/>
      <c r="G658" s="122"/>
      <c r="H658" s="122"/>
      <c r="I658" s="122"/>
      <c r="J658" s="122"/>
      <c r="K658" s="122"/>
      <c r="M658" s="122"/>
    </row>
    <row r="659">
      <c r="F659" s="122"/>
      <c r="G659" s="122"/>
      <c r="H659" s="122"/>
      <c r="I659" s="122"/>
      <c r="J659" s="122"/>
      <c r="K659" s="122"/>
      <c r="M659" s="122"/>
    </row>
    <row r="660">
      <c r="F660" s="122"/>
      <c r="G660" s="122"/>
      <c r="H660" s="122"/>
      <c r="I660" s="122"/>
      <c r="J660" s="122"/>
      <c r="K660" s="122"/>
      <c r="M660" s="122"/>
    </row>
    <row r="661">
      <c r="F661" s="122"/>
      <c r="G661" s="122"/>
      <c r="H661" s="122"/>
      <c r="I661" s="122"/>
      <c r="J661" s="122"/>
      <c r="K661" s="122"/>
      <c r="M661" s="122"/>
    </row>
    <row r="662">
      <c r="F662" s="122"/>
      <c r="G662" s="122"/>
      <c r="H662" s="122"/>
      <c r="I662" s="122"/>
      <c r="J662" s="122"/>
      <c r="K662" s="122"/>
      <c r="M662" s="122"/>
    </row>
    <row r="663">
      <c r="F663" s="122"/>
      <c r="G663" s="122"/>
      <c r="H663" s="122"/>
      <c r="I663" s="122"/>
      <c r="J663" s="122"/>
      <c r="K663" s="122"/>
      <c r="M663" s="122"/>
    </row>
    <row r="664">
      <c r="F664" s="122"/>
      <c r="G664" s="122"/>
      <c r="H664" s="122"/>
      <c r="I664" s="122"/>
      <c r="J664" s="122"/>
      <c r="K664" s="122"/>
      <c r="M664" s="122"/>
    </row>
    <row r="665">
      <c r="F665" s="122"/>
      <c r="G665" s="122"/>
      <c r="H665" s="122"/>
      <c r="I665" s="122"/>
      <c r="J665" s="122"/>
      <c r="K665" s="122"/>
      <c r="M665" s="122"/>
    </row>
    <row r="666">
      <c r="F666" s="122"/>
      <c r="G666" s="122"/>
      <c r="H666" s="122"/>
      <c r="I666" s="122"/>
      <c r="J666" s="122"/>
      <c r="K666" s="122"/>
      <c r="M666" s="122"/>
    </row>
    <row r="667">
      <c r="F667" s="122"/>
      <c r="G667" s="122"/>
      <c r="H667" s="122"/>
      <c r="I667" s="122"/>
      <c r="J667" s="122"/>
      <c r="K667" s="122"/>
      <c r="M667" s="122"/>
    </row>
    <row r="668">
      <c r="F668" s="122"/>
      <c r="G668" s="122"/>
      <c r="H668" s="122"/>
      <c r="I668" s="122"/>
      <c r="J668" s="122"/>
      <c r="K668" s="122"/>
      <c r="M668" s="122"/>
    </row>
    <row r="669">
      <c r="F669" s="122"/>
      <c r="G669" s="122"/>
      <c r="H669" s="122"/>
      <c r="I669" s="122"/>
      <c r="J669" s="122"/>
      <c r="K669" s="122"/>
      <c r="M669" s="122"/>
    </row>
    <row r="670">
      <c r="F670" s="122"/>
      <c r="G670" s="122"/>
      <c r="H670" s="122"/>
      <c r="I670" s="122"/>
      <c r="J670" s="122"/>
      <c r="K670" s="122"/>
      <c r="M670" s="122"/>
    </row>
    <row r="671">
      <c r="F671" s="122"/>
      <c r="G671" s="122"/>
      <c r="H671" s="122"/>
      <c r="I671" s="122"/>
      <c r="J671" s="122"/>
      <c r="K671" s="122"/>
      <c r="M671" s="122"/>
    </row>
    <row r="672">
      <c r="F672" s="122"/>
      <c r="G672" s="122"/>
      <c r="H672" s="122"/>
      <c r="I672" s="122"/>
      <c r="J672" s="122"/>
      <c r="K672" s="122"/>
      <c r="M672" s="122"/>
    </row>
    <row r="673">
      <c r="F673" s="122"/>
      <c r="G673" s="122"/>
      <c r="H673" s="122"/>
      <c r="I673" s="122"/>
      <c r="J673" s="122"/>
      <c r="K673" s="122"/>
      <c r="M673" s="122"/>
    </row>
    <row r="674">
      <c r="F674" s="122"/>
      <c r="G674" s="122"/>
      <c r="H674" s="122"/>
      <c r="I674" s="122"/>
      <c r="J674" s="122"/>
      <c r="K674" s="122"/>
      <c r="M674" s="122"/>
    </row>
    <row r="675">
      <c r="F675" s="122"/>
      <c r="G675" s="122"/>
      <c r="H675" s="122"/>
      <c r="I675" s="122"/>
      <c r="J675" s="122"/>
      <c r="K675" s="122"/>
      <c r="M675" s="122"/>
    </row>
    <row r="676">
      <c r="F676" s="122"/>
      <c r="G676" s="122"/>
      <c r="H676" s="122"/>
      <c r="I676" s="122"/>
      <c r="J676" s="122"/>
      <c r="K676" s="122"/>
      <c r="M676" s="122"/>
    </row>
    <row r="677">
      <c r="F677" s="122"/>
      <c r="G677" s="122"/>
      <c r="H677" s="122"/>
      <c r="I677" s="122"/>
      <c r="J677" s="122"/>
      <c r="K677" s="122"/>
      <c r="M677" s="122"/>
    </row>
    <row r="678">
      <c r="F678" s="122"/>
      <c r="G678" s="122"/>
      <c r="H678" s="122"/>
      <c r="I678" s="122"/>
      <c r="J678" s="122"/>
      <c r="K678" s="122"/>
      <c r="M678" s="122"/>
    </row>
    <row r="679">
      <c r="F679" s="122"/>
      <c r="G679" s="122"/>
      <c r="H679" s="122"/>
      <c r="I679" s="122"/>
      <c r="J679" s="122"/>
      <c r="K679" s="122"/>
      <c r="M679" s="122"/>
    </row>
    <row r="680">
      <c r="F680" s="122"/>
      <c r="G680" s="122"/>
      <c r="H680" s="122"/>
      <c r="I680" s="122"/>
      <c r="J680" s="122"/>
      <c r="K680" s="122"/>
      <c r="M680" s="122"/>
    </row>
    <row r="681">
      <c r="F681" s="122"/>
      <c r="G681" s="122"/>
      <c r="H681" s="122"/>
      <c r="I681" s="122"/>
      <c r="J681" s="122"/>
      <c r="K681" s="122"/>
      <c r="M681" s="122"/>
    </row>
    <row r="682">
      <c r="F682" s="122"/>
      <c r="G682" s="122"/>
      <c r="H682" s="122"/>
      <c r="I682" s="122"/>
      <c r="J682" s="122"/>
      <c r="K682" s="122"/>
      <c r="M682" s="122"/>
    </row>
    <row r="683">
      <c r="F683" s="122"/>
      <c r="G683" s="122"/>
      <c r="H683" s="122"/>
      <c r="I683" s="122"/>
      <c r="J683" s="122"/>
      <c r="K683" s="122"/>
      <c r="M683" s="122"/>
    </row>
    <row r="684">
      <c r="F684" s="122"/>
      <c r="G684" s="122"/>
      <c r="H684" s="122"/>
      <c r="I684" s="122"/>
      <c r="J684" s="122"/>
      <c r="K684" s="122"/>
      <c r="M684" s="122"/>
    </row>
    <row r="685">
      <c r="F685" s="122"/>
      <c r="G685" s="122"/>
      <c r="H685" s="122"/>
      <c r="I685" s="122"/>
      <c r="J685" s="122"/>
      <c r="K685" s="122"/>
      <c r="M685" s="122"/>
    </row>
    <row r="686">
      <c r="F686" s="122"/>
      <c r="G686" s="122"/>
      <c r="H686" s="122"/>
      <c r="I686" s="122"/>
      <c r="J686" s="122"/>
      <c r="K686" s="122"/>
      <c r="M686" s="122"/>
    </row>
    <row r="687">
      <c r="F687" s="122"/>
      <c r="G687" s="122"/>
      <c r="H687" s="122"/>
      <c r="I687" s="122"/>
      <c r="J687" s="122"/>
      <c r="K687" s="122"/>
      <c r="M687" s="122"/>
    </row>
    <row r="688">
      <c r="F688" s="122"/>
      <c r="G688" s="122"/>
      <c r="H688" s="122"/>
      <c r="I688" s="122"/>
      <c r="J688" s="122"/>
      <c r="K688" s="122"/>
      <c r="M688" s="122"/>
    </row>
    <row r="689">
      <c r="F689" s="122"/>
      <c r="G689" s="122"/>
      <c r="H689" s="122"/>
      <c r="I689" s="122"/>
      <c r="J689" s="122"/>
      <c r="K689" s="122"/>
      <c r="M689" s="122"/>
    </row>
    <row r="690">
      <c r="F690" s="122"/>
      <c r="G690" s="122"/>
      <c r="H690" s="122"/>
      <c r="I690" s="122"/>
      <c r="J690" s="122"/>
      <c r="K690" s="122"/>
      <c r="M690" s="122"/>
    </row>
    <row r="691">
      <c r="F691" s="122"/>
      <c r="G691" s="122"/>
      <c r="H691" s="122"/>
      <c r="I691" s="122"/>
      <c r="J691" s="122"/>
      <c r="K691" s="122"/>
      <c r="M691" s="122"/>
    </row>
    <row r="692">
      <c r="F692" s="122"/>
      <c r="G692" s="122"/>
      <c r="H692" s="122"/>
      <c r="I692" s="122"/>
      <c r="J692" s="122"/>
      <c r="K692" s="122"/>
      <c r="M692" s="122"/>
    </row>
    <row r="693">
      <c r="F693" s="122"/>
      <c r="G693" s="122"/>
      <c r="H693" s="122"/>
      <c r="I693" s="122"/>
      <c r="J693" s="122"/>
      <c r="K693" s="122"/>
      <c r="M693" s="122"/>
    </row>
    <row r="694">
      <c r="F694" s="122"/>
      <c r="G694" s="122"/>
      <c r="H694" s="122"/>
      <c r="I694" s="122"/>
      <c r="J694" s="122"/>
      <c r="K694" s="122"/>
      <c r="M694" s="122"/>
    </row>
    <row r="695">
      <c r="F695" s="122"/>
      <c r="G695" s="122"/>
      <c r="H695" s="122"/>
      <c r="I695" s="122"/>
      <c r="J695" s="122"/>
      <c r="K695" s="122"/>
      <c r="M695" s="122"/>
    </row>
    <row r="696">
      <c r="F696" s="122"/>
      <c r="G696" s="122"/>
      <c r="H696" s="122"/>
      <c r="I696" s="122"/>
      <c r="J696" s="122"/>
      <c r="K696" s="122"/>
      <c r="M696" s="122"/>
    </row>
    <row r="697">
      <c r="F697" s="122"/>
      <c r="G697" s="122"/>
      <c r="H697" s="122"/>
      <c r="I697" s="122"/>
      <c r="J697" s="122"/>
      <c r="K697" s="122"/>
      <c r="M697" s="122"/>
    </row>
    <row r="698">
      <c r="F698" s="122"/>
      <c r="G698" s="122"/>
      <c r="H698" s="122"/>
      <c r="I698" s="122"/>
      <c r="J698" s="122"/>
      <c r="K698" s="122"/>
      <c r="M698" s="122"/>
    </row>
    <row r="699">
      <c r="F699" s="122"/>
      <c r="G699" s="122"/>
      <c r="H699" s="122"/>
      <c r="I699" s="122"/>
      <c r="J699" s="122"/>
      <c r="K699" s="122"/>
      <c r="M699" s="122"/>
    </row>
    <row r="700">
      <c r="F700" s="122"/>
      <c r="G700" s="122"/>
      <c r="H700" s="122"/>
      <c r="I700" s="122"/>
      <c r="J700" s="122"/>
      <c r="K700" s="122"/>
      <c r="M700" s="122"/>
    </row>
    <row r="701">
      <c r="F701" s="122"/>
      <c r="G701" s="122"/>
      <c r="H701" s="122"/>
      <c r="I701" s="122"/>
      <c r="J701" s="122"/>
      <c r="K701" s="122"/>
      <c r="M701" s="122"/>
    </row>
    <row r="702">
      <c r="F702" s="122"/>
      <c r="G702" s="122"/>
      <c r="H702" s="122"/>
      <c r="I702" s="122"/>
      <c r="J702" s="122"/>
      <c r="K702" s="122"/>
      <c r="M702" s="122"/>
    </row>
    <row r="703">
      <c r="F703" s="122"/>
      <c r="G703" s="122"/>
      <c r="H703" s="122"/>
      <c r="I703" s="122"/>
      <c r="J703" s="122"/>
      <c r="K703" s="122"/>
      <c r="M703" s="122"/>
    </row>
    <row r="704">
      <c r="F704" s="122"/>
      <c r="G704" s="122"/>
      <c r="H704" s="122"/>
      <c r="I704" s="122"/>
      <c r="J704" s="122"/>
      <c r="K704" s="122"/>
      <c r="M704" s="122"/>
    </row>
    <row r="705">
      <c r="F705" s="122"/>
      <c r="G705" s="122"/>
      <c r="H705" s="122"/>
      <c r="I705" s="122"/>
      <c r="J705" s="122"/>
      <c r="K705" s="122"/>
      <c r="M705" s="122"/>
    </row>
    <row r="706">
      <c r="F706" s="122"/>
      <c r="G706" s="122"/>
      <c r="H706" s="122"/>
      <c r="I706" s="122"/>
      <c r="J706" s="122"/>
      <c r="K706" s="122"/>
      <c r="M706" s="122"/>
    </row>
    <row r="707">
      <c r="F707" s="122"/>
      <c r="G707" s="122"/>
      <c r="H707" s="122"/>
      <c r="I707" s="122"/>
      <c r="J707" s="122"/>
      <c r="K707" s="122"/>
      <c r="M707" s="122"/>
    </row>
    <row r="708">
      <c r="F708" s="122"/>
      <c r="G708" s="122"/>
      <c r="H708" s="122"/>
      <c r="I708" s="122"/>
      <c r="J708" s="122"/>
      <c r="K708" s="122"/>
      <c r="M708" s="122"/>
    </row>
    <row r="709">
      <c r="F709" s="122"/>
      <c r="G709" s="122"/>
      <c r="H709" s="122"/>
      <c r="I709" s="122"/>
      <c r="J709" s="122"/>
      <c r="K709" s="122"/>
      <c r="M709" s="122"/>
    </row>
    <row r="710">
      <c r="F710" s="122"/>
      <c r="G710" s="122"/>
      <c r="H710" s="122"/>
      <c r="I710" s="122"/>
      <c r="J710" s="122"/>
      <c r="K710" s="122"/>
      <c r="M710" s="122"/>
    </row>
    <row r="711">
      <c r="F711" s="122"/>
      <c r="G711" s="122"/>
      <c r="H711" s="122"/>
      <c r="I711" s="122"/>
      <c r="J711" s="122"/>
      <c r="K711" s="122"/>
      <c r="M711" s="122"/>
    </row>
    <row r="712">
      <c r="F712" s="122"/>
      <c r="G712" s="122"/>
      <c r="H712" s="122"/>
      <c r="I712" s="122"/>
      <c r="J712" s="122"/>
      <c r="K712" s="122"/>
      <c r="M712" s="122"/>
    </row>
    <row r="713">
      <c r="F713" s="122"/>
      <c r="G713" s="122"/>
      <c r="H713" s="122"/>
      <c r="I713" s="122"/>
      <c r="J713" s="122"/>
      <c r="K713" s="122"/>
      <c r="M713" s="122"/>
    </row>
    <row r="714">
      <c r="F714" s="122"/>
      <c r="G714" s="122"/>
      <c r="H714" s="122"/>
      <c r="I714" s="122"/>
      <c r="J714" s="122"/>
      <c r="K714" s="122"/>
      <c r="M714" s="122"/>
    </row>
    <row r="715">
      <c r="F715" s="122"/>
      <c r="G715" s="122"/>
      <c r="H715" s="122"/>
      <c r="I715" s="122"/>
      <c r="J715" s="122"/>
      <c r="K715" s="122"/>
      <c r="M715" s="122"/>
    </row>
    <row r="716">
      <c r="F716" s="122"/>
      <c r="G716" s="122"/>
      <c r="H716" s="122"/>
      <c r="I716" s="122"/>
      <c r="J716" s="122"/>
      <c r="K716" s="122"/>
      <c r="M716" s="122"/>
    </row>
    <row r="717">
      <c r="F717" s="122"/>
      <c r="G717" s="122"/>
      <c r="H717" s="122"/>
      <c r="I717" s="122"/>
      <c r="J717" s="122"/>
      <c r="K717" s="122"/>
      <c r="M717" s="122"/>
    </row>
    <row r="718">
      <c r="F718" s="122"/>
      <c r="G718" s="122"/>
      <c r="H718" s="122"/>
      <c r="I718" s="122"/>
      <c r="J718" s="122"/>
      <c r="K718" s="122"/>
      <c r="M718" s="122"/>
    </row>
    <row r="719">
      <c r="F719" s="122"/>
      <c r="G719" s="122"/>
      <c r="H719" s="122"/>
      <c r="I719" s="122"/>
      <c r="J719" s="122"/>
      <c r="K719" s="122"/>
      <c r="M719" s="122"/>
    </row>
    <row r="720">
      <c r="F720" s="122"/>
      <c r="G720" s="122"/>
      <c r="H720" s="122"/>
      <c r="I720" s="122"/>
      <c r="J720" s="122"/>
      <c r="K720" s="122"/>
      <c r="M720" s="122"/>
    </row>
    <row r="721">
      <c r="F721" s="122"/>
      <c r="G721" s="122"/>
      <c r="H721" s="122"/>
      <c r="I721" s="122"/>
      <c r="J721" s="122"/>
      <c r="K721" s="122"/>
      <c r="M721" s="122"/>
    </row>
    <row r="722">
      <c r="F722" s="122"/>
      <c r="G722" s="122"/>
      <c r="H722" s="122"/>
      <c r="I722" s="122"/>
      <c r="J722" s="122"/>
      <c r="K722" s="122"/>
      <c r="M722" s="122"/>
    </row>
    <row r="723">
      <c r="F723" s="122"/>
      <c r="G723" s="122"/>
      <c r="H723" s="122"/>
      <c r="I723" s="122"/>
      <c r="J723" s="122"/>
      <c r="K723" s="122"/>
      <c r="M723" s="122"/>
    </row>
    <row r="724">
      <c r="F724" s="122"/>
      <c r="G724" s="122"/>
      <c r="H724" s="122"/>
      <c r="I724" s="122"/>
      <c r="J724" s="122"/>
      <c r="K724" s="122"/>
      <c r="M724" s="122"/>
    </row>
    <row r="725">
      <c r="F725" s="122"/>
      <c r="G725" s="122"/>
      <c r="H725" s="122"/>
      <c r="I725" s="122"/>
      <c r="J725" s="122"/>
      <c r="K725" s="122"/>
      <c r="M725" s="122"/>
    </row>
    <row r="726">
      <c r="F726" s="122"/>
      <c r="G726" s="122"/>
      <c r="H726" s="122"/>
      <c r="I726" s="122"/>
      <c r="J726" s="122"/>
      <c r="K726" s="122"/>
      <c r="M726" s="122"/>
    </row>
    <row r="727">
      <c r="F727" s="122"/>
      <c r="G727" s="122"/>
      <c r="H727" s="122"/>
      <c r="I727" s="122"/>
      <c r="J727" s="122"/>
      <c r="K727" s="122"/>
      <c r="M727" s="122"/>
    </row>
    <row r="728">
      <c r="F728" s="122"/>
      <c r="G728" s="122"/>
      <c r="H728" s="122"/>
      <c r="I728" s="122"/>
      <c r="J728" s="122"/>
      <c r="K728" s="122"/>
      <c r="M728" s="122"/>
    </row>
    <row r="729">
      <c r="F729" s="122"/>
      <c r="G729" s="122"/>
      <c r="H729" s="122"/>
      <c r="I729" s="122"/>
      <c r="J729" s="122"/>
      <c r="K729" s="122"/>
      <c r="M729" s="122"/>
    </row>
    <row r="730">
      <c r="F730" s="122"/>
      <c r="G730" s="122"/>
      <c r="H730" s="122"/>
      <c r="I730" s="122"/>
      <c r="J730" s="122"/>
      <c r="K730" s="122"/>
      <c r="M730" s="122"/>
    </row>
    <row r="731">
      <c r="F731" s="122"/>
      <c r="G731" s="122"/>
      <c r="H731" s="122"/>
      <c r="I731" s="122"/>
      <c r="J731" s="122"/>
      <c r="K731" s="122"/>
      <c r="M731" s="122"/>
    </row>
    <row r="732">
      <c r="F732" s="122"/>
      <c r="G732" s="122"/>
      <c r="H732" s="122"/>
      <c r="I732" s="122"/>
      <c r="J732" s="122"/>
      <c r="K732" s="122"/>
      <c r="M732" s="122"/>
    </row>
    <row r="733">
      <c r="F733" s="122"/>
      <c r="G733" s="122"/>
      <c r="H733" s="122"/>
      <c r="I733" s="122"/>
      <c r="J733" s="122"/>
      <c r="K733" s="122"/>
      <c r="M733" s="122"/>
    </row>
    <row r="734">
      <c r="F734" s="122"/>
      <c r="G734" s="122"/>
      <c r="H734" s="122"/>
      <c r="I734" s="122"/>
      <c r="J734" s="122"/>
      <c r="K734" s="122"/>
      <c r="M734" s="122"/>
    </row>
    <row r="735">
      <c r="F735" s="122"/>
      <c r="G735" s="122"/>
      <c r="H735" s="122"/>
      <c r="I735" s="122"/>
      <c r="J735" s="122"/>
      <c r="K735" s="122"/>
      <c r="M735" s="122"/>
    </row>
    <row r="736">
      <c r="F736" s="122"/>
      <c r="G736" s="122"/>
      <c r="H736" s="122"/>
      <c r="I736" s="122"/>
      <c r="J736" s="122"/>
      <c r="K736" s="122"/>
      <c r="M736" s="122"/>
    </row>
    <row r="737">
      <c r="F737" s="122"/>
      <c r="G737" s="122"/>
      <c r="H737" s="122"/>
      <c r="I737" s="122"/>
      <c r="J737" s="122"/>
      <c r="K737" s="122"/>
      <c r="M737" s="122"/>
    </row>
    <row r="738">
      <c r="F738" s="122"/>
      <c r="G738" s="122"/>
      <c r="H738" s="122"/>
      <c r="I738" s="122"/>
      <c r="J738" s="122"/>
      <c r="K738" s="122"/>
      <c r="M738" s="122"/>
    </row>
    <row r="739">
      <c r="F739" s="122"/>
      <c r="G739" s="122"/>
      <c r="H739" s="122"/>
      <c r="I739" s="122"/>
      <c r="J739" s="122"/>
      <c r="K739" s="122"/>
      <c r="M739" s="122"/>
    </row>
    <row r="740">
      <c r="F740" s="122"/>
      <c r="G740" s="122"/>
      <c r="H740" s="122"/>
      <c r="I740" s="122"/>
      <c r="J740" s="122"/>
      <c r="K740" s="122"/>
      <c r="M740" s="122"/>
    </row>
    <row r="741">
      <c r="F741" s="122"/>
      <c r="G741" s="122"/>
      <c r="H741" s="122"/>
      <c r="I741" s="122"/>
      <c r="J741" s="122"/>
      <c r="K741" s="122"/>
      <c r="M741" s="122"/>
    </row>
    <row r="742">
      <c r="F742" s="122"/>
      <c r="G742" s="122"/>
      <c r="H742" s="122"/>
      <c r="I742" s="122"/>
      <c r="J742" s="122"/>
      <c r="K742" s="122"/>
      <c r="M742" s="122"/>
    </row>
    <row r="743">
      <c r="F743" s="122"/>
      <c r="G743" s="122"/>
      <c r="H743" s="122"/>
      <c r="I743" s="122"/>
      <c r="J743" s="122"/>
      <c r="K743" s="122"/>
      <c r="M743" s="122"/>
    </row>
    <row r="744">
      <c r="F744" s="122"/>
      <c r="G744" s="122"/>
      <c r="H744" s="122"/>
      <c r="I744" s="122"/>
      <c r="J744" s="122"/>
      <c r="K744" s="122"/>
      <c r="M744" s="122"/>
    </row>
    <row r="745">
      <c r="F745" s="122"/>
      <c r="G745" s="122"/>
      <c r="H745" s="122"/>
      <c r="I745" s="122"/>
      <c r="J745" s="122"/>
      <c r="K745" s="122"/>
      <c r="M745" s="122"/>
    </row>
    <row r="746">
      <c r="F746" s="122"/>
      <c r="G746" s="122"/>
      <c r="H746" s="122"/>
      <c r="I746" s="122"/>
      <c r="J746" s="122"/>
      <c r="K746" s="122"/>
      <c r="M746" s="122"/>
    </row>
    <row r="747">
      <c r="F747" s="122"/>
      <c r="G747" s="122"/>
      <c r="H747" s="122"/>
      <c r="I747" s="122"/>
      <c r="J747" s="122"/>
      <c r="K747" s="122"/>
      <c r="M747" s="122"/>
    </row>
    <row r="748">
      <c r="F748" s="122"/>
      <c r="G748" s="122"/>
      <c r="H748" s="122"/>
      <c r="I748" s="122"/>
      <c r="J748" s="122"/>
      <c r="K748" s="122"/>
      <c r="M748" s="122"/>
    </row>
    <row r="749">
      <c r="F749" s="122"/>
      <c r="G749" s="122"/>
      <c r="H749" s="122"/>
      <c r="I749" s="122"/>
      <c r="J749" s="122"/>
      <c r="K749" s="122"/>
      <c r="M749" s="122"/>
    </row>
    <row r="750">
      <c r="F750" s="122"/>
      <c r="G750" s="122"/>
      <c r="H750" s="122"/>
      <c r="I750" s="122"/>
      <c r="J750" s="122"/>
      <c r="K750" s="122"/>
      <c r="M750" s="122"/>
    </row>
    <row r="751">
      <c r="F751" s="122"/>
      <c r="G751" s="122"/>
      <c r="H751" s="122"/>
      <c r="I751" s="122"/>
      <c r="J751" s="122"/>
      <c r="K751" s="122"/>
      <c r="M751" s="122"/>
    </row>
    <row r="752">
      <c r="F752" s="122"/>
      <c r="G752" s="122"/>
      <c r="H752" s="122"/>
      <c r="I752" s="122"/>
      <c r="J752" s="122"/>
      <c r="K752" s="122"/>
      <c r="M752" s="122"/>
    </row>
    <row r="753">
      <c r="F753" s="122"/>
      <c r="G753" s="122"/>
      <c r="H753" s="122"/>
      <c r="I753" s="122"/>
      <c r="J753" s="122"/>
      <c r="K753" s="122"/>
      <c r="M753" s="122"/>
    </row>
    <row r="754">
      <c r="F754" s="122"/>
      <c r="G754" s="122"/>
      <c r="H754" s="122"/>
      <c r="I754" s="122"/>
      <c r="J754" s="122"/>
      <c r="K754" s="122"/>
      <c r="M754" s="122"/>
    </row>
    <row r="755">
      <c r="F755" s="122"/>
      <c r="G755" s="122"/>
      <c r="H755" s="122"/>
      <c r="I755" s="122"/>
      <c r="J755" s="122"/>
      <c r="K755" s="122"/>
      <c r="M755" s="122"/>
    </row>
    <row r="756">
      <c r="F756" s="122"/>
      <c r="G756" s="122"/>
      <c r="H756" s="122"/>
      <c r="I756" s="122"/>
      <c r="J756" s="122"/>
      <c r="K756" s="122"/>
      <c r="M756" s="122"/>
    </row>
    <row r="757">
      <c r="F757" s="122"/>
      <c r="G757" s="122"/>
      <c r="H757" s="122"/>
      <c r="I757" s="122"/>
      <c r="J757" s="122"/>
      <c r="K757" s="122"/>
      <c r="M757" s="122"/>
    </row>
    <row r="758">
      <c r="F758" s="122"/>
      <c r="G758" s="122"/>
      <c r="H758" s="122"/>
      <c r="I758" s="122"/>
      <c r="J758" s="122"/>
      <c r="K758" s="122"/>
      <c r="M758" s="122"/>
    </row>
    <row r="759">
      <c r="F759" s="122"/>
      <c r="G759" s="122"/>
      <c r="H759" s="122"/>
      <c r="I759" s="122"/>
      <c r="J759" s="122"/>
      <c r="K759" s="122"/>
      <c r="M759" s="122"/>
    </row>
    <row r="760">
      <c r="F760" s="122"/>
      <c r="G760" s="122"/>
      <c r="H760" s="122"/>
      <c r="I760" s="122"/>
      <c r="J760" s="122"/>
      <c r="K760" s="122"/>
      <c r="M760" s="122"/>
    </row>
    <row r="761">
      <c r="F761" s="122"/>
      <c r="G761" s="122"/>
      <c r="H761" s="122"/>
      <c r="I761" s="122"/>
      <c r="J761" s="122"/>
      <c r="K761" s="122"/>
      <c r="M761" s="122"/>
    </row>
    <row r="762">
      <c r="F762" s="122"/>
      <c r="G762" s="122"/>
      <c r="H762" s="122"/>
      <c r="I762" s="122"/>
      <c r="J762" s="122"/>
      <c r="K762" s="122"/>
      <c r="M762" s="122"/>
    </row>
    <row r="763">
      <c r="F763" s="122"/>
      <c r="G763" s="122"/>
      <c r="H763" s="122"/>
      <c r="I763" s="122"/>
      <c r="J763" s="122"/>
      <c r="K763" s="122"/>
      <c r="M763" s="122"/>
    </row>
    <row r="764">
      <c r="F764" s="122"/>
      <c r="G764" s="122"/>
      <c r="H764" s="122"/>
      <c r="I764" s="122"/>
      <c r="J764" s="122"/>
      <c r="K764" s="122"/>
      <c r="M764" s="122"/>
    </row>
    <row r="765">
      <c r="F765" s="122"/>
      <c r="G765" s="122"/>
      <c r="H765" s="122"/>
      <c r="I765" s="122"/>
      <c r="J765" s="122"/>
      <c r="K765" s="122"/>
      <c r="M765" s="122"/>
    </row>
    <row r="766">
      <c r="F766" s="122"/>
      <c r="G766" s="122"/>
      <c r="H766" s="122"/>
      <c r="I766" s="122"/>
      <c r="J766" s="122"/>
      <c r="K766" s="122"/>
      <c r="M766" s="122"/>
    </row>
    <row r="767">
      <c r="F767" s="122"/>
      <c r="G767" s="122"/>
      <c r="H767" s="122"/>
      <c r="I767" s="122"/>
      <c r="J767" s="122"/>
      <c r="K767" s="122"/>
      <c r="M767" s="122"/>
    </row>
    <row r="768">
      <c r="F768" s="122"/>
      <c r="G768" s="122"/>
      <c r="H768" s="122"/>
      <c r="I768" s="122"/>
      <c r="J768" s="122"/>
      <c r="K768" s="122"/>
      <c r="M768" s="122"/>
    </row>
    <row r="769">
      <c r="F769" s="122"/>
      <c r="G769" s="122"/>
      <c r="H769" s="122"/>
      <c r="I769" s="122"/>
      <c r="J769" s="122"/>
      <c r="K769" s="122"/>
      <c r="M769" s="122"/>
    </row>
    <row r="770">
      <c r="F770" s="122"/>
      <c r="G770" s="122"/>
      <c r="H770" s="122"/>
      <c r="I770" s="122"/>
      <c r="J770" s="122"/>
      <c r="K770" s="122"/>
      <c r="M770" s="122"/>
    </row>
    <row r="771">
      <c r="F771" s="122"/>
      <c r="G771" s="122"/>
      <c r="H771" s="122"/>
      <c r="I771" s="122"/>
      <c r="J771" s="122"/>
      <c r="K771" s="122"/>
      <c r="M771" s="122"/>
    </row>
    <row r="772">
      <c r="F772" s="122"/>
      <c r="G772" s="122"/>
      <c r="H772" s="122"/>
      <c r="I772" s="122"/>
      <c r="J772" s="122"/>
      <c r="K772" s="122"/>
      <c r="M772" s="122"/>
    </row>
    <row r="773">
      <c r="F773" s="122"/>
      <c r="G773" s="122"/>
      <c r="H773" s="122"/>
      <c r="I773" s="122"/>
      <c r="J773" s="122"/>
      <c r="K773" s="122"/>
      <c r="M773" s="122"/>
    </row>
    <row r="774">
      <c r="F774" s="122"/>
      <c r="G774" s="122"/>
      <c r="H774" s="122"/>
      <c r="I774" s="122"/>
      <c r="J774" s="122"/>
      <c r="K774" s="122"/>
      <c r="M774" s="122"/>
    </row>
    <row r="775">
      <c r="F775" s="122"/>
      <c r="G775" s="122"/>
      <c r="H775" s="122"/>
      <c r="I775" s="122"/>
      <c r="J775" s="122"/>
      <c r="K775" s="122"/>
      <c r="M775" s="122"/>
    </row>
    <row r="776">
      <c r="F776" s="122"/>
      <c r="G776" s="122"/>
      <c r="H776" s="122"/>
      <c r="I776" s="122"/>
      <c r="J776" s="122"/>
      <c r="K776" s="122"/>
      <c r="M776" s="122"/>
    </row>
    <row r="777">
      <c r="F777" s="122"/>
      <c r="G777" s="122"/>
      <c r="H777" s="122"/>
      <c r="I777" s="122"/>
      <c r="J777" s="122"/>
      <c r="K777" s="122"/>
      <c r="M777" s="122"/>
    </row>
    <row r="778">
      <c r="F778" s="122"/>
      <c r="G778" s="122"/>
      <c r="H778" s="122"/>
      <c r="I778" s="122"/>
      <c r="J778" s="122"/>
      <c r="K778" s="122"/>
      <c r="M778" s="122"/>
    </row>
    <row r="779">
      <c r="F779" s="122"/>
      <c r="G779" s="122"/>
      <c r="H779" s="122"/>
      <c r="I779" s="122"/>
      <c r="J779" s="122"/>
      <c r="K779" s="122"/>
      <c r="M779" s="122"/>
    </row>
    <row r="780">
      <c r="F780" s="122"/>
      <c r="G780" s="122"/>
      <c r="H780" s="122"/>
      <c r="I780" s="122"/>
      <c r="J780" s="122"/>
      <c r="K780" s="122"/>
      <c r="M780" s="122"/>
    </row>
    <row r="781">
      <c r="F781" s="122"/>
      <c r="G781" s="122"/>
      <c r="H781" s="122"/>
      <c r="I781" s="122"/>
      <c r="J781" s="122"/>
      <c r="K781" s="122"/>
      <c r="M781" s="122"/>
    </row>
    <row r="782">
      <c r="F782" s="122"/>
      <c r="G782" s="122"/>
      <c r="H782" s="122"/>
      <c r="I782" s="122"/>
      <c r="J782" s="122"/>
      <c r="K782" s="122"/>
      <c r="M782" s="122"/>
    </row>
    <row r="783">
      <c r="F783" s="122"/>
      <c r="G783" s="122"/>
      <c r="H783" s="122"/>
      <c r="I783" s="122"/>
      <c r="J783" s="122"/>
      <c r="K783" s="122"/>
      <c r="M783" s="122"/>
    </row>
    <row r="784">
      <c r="F784" s="122"/>
      <c r="G784" s="122"/>
      <c r="H784" s="122"/>
      <c r="I784" s="122"/>
      <c r="J784" s="122"/>
      <c r="K784" s="122"/>
      <c r="M784" s="122"/>
    </row>
    <row r="785">
      <c r="F785" s="122"/>
      <c r="G785" s="122"/>
      <c r="H785" s="122"/>
      <c r="I785" s="122"/>
      <c r="J785" s="122"/>
      <c r="K785" s="122"/>
      <c r="M785" s="122"/>
    </row>
    <row r="786">
      <c r="F786" s="122"/>
      <c r="G786" s="122"/>
      <c r="H786" s="122"/>
      <c r="I786" s="122"/>
      <c r="J786" s="122"/>
      <c r="K786" s="122"/>
      <c r="M786" s="122"/>
    </row>
    <row r="787">
      <c r="F787" s="122"/>
      <c r="G787" s="122"/>
      <c r="H787" s="122"/>
      <c r="I787" s="122"/>
      <c r="J787" s="122"/>
      <c r="K787" s="122"/>
      <c r="M787" s="122"/>
    </row>
    <row r="788">
      <c r="F788" s="122"/>
      <c r="G788" s="122"/>
      <c r="H788" s="122"/>
      <c r="I788" s="122"/>
      <c r="J788" s="122"/>
      <c r="K788" s="122"/>
      <c r="M788" s="122"/>
    </row>
    <row r="789">
      <c r="F789" s="122"/>
      <c r="G789" s="122"/>
      <c r="H789" s="122"/>
      <c r="I789" s="122"/>
      <c r="J789" s="122"/>
      <c r="K789" s="122"/>
      <c r="M789" s="122"/>
    </row>
    <row r="790">
      <c r="F790" s="122"/>
      <c r="G790" s="122"/>
      <c r="H790" s="122"/>
      <c r="I790" s="122"/>
      <c r="J790" s="122"/>
      <c r="K790" s="122"/>
      <c r="M790" s="122"/>
    </row>
    <row r="791">
      <c r="F791" s="122"/>
      <c r="G791" s="122"/>
      <c r="H791" s="122"/>
      <c r="I791" s="122"/>
      <c r="J791" s="122"/>
      <c r="K791" s="122"/>
      <c r="M791" s="122"/>
    </row>
    <row r="792">
      <c r="F792" s="122"/>
      <c r="G792" s="122"/>
      <c r="H792" s="122"/>
      <c r="I792" s="122"/>
      <c r="J792" s="122"/>
      <c r="K792" s="122"/>
      <c r="M792" s="122"/>
    </row>
    <row r="793">
      <c r="F793" s="122"/>
      <c r="G793" s="122"/>
      <c r="H793" s="122"/>
      <c r="I793" s="122"/>
      <c r="J793" s="122"/>
      <c r="K793" s="122"/>
      <c r="M793" s="122"/>
    </row>
    <row r="794">
      <c r="F794" s="122"/>
      <c r="G794" s="122"/>
      <c r="H794" s="122"/>
      <c r="I794" s="122"/>
      <c r="J794" s="122"/>
      <c r="K794" s="122"/>
      <c r="M794" s="122"/>
    </row>
    <row r="795">
      <c r="F795" s="122"/>
      <c r="G795" s="122"/>
      <c r="H795" s="122"/>
      <c r="I795" s="122"/>
      <c r="J795" s="122"/>
      <c r="K795" s="122"/>
      <c r="M795" s="122"/>
    </row>
    <row r="796">
      <c r="F796" s="122"/>
      <c r="G796" s="122"/>
      <c r="H796" s="122"/>
      <c r="I796" s="122"/>
      <c r="J796" s="122"/>
      <c r="K796" s="122"/>
      <c r="M796" s="122"/>
    </row>
    <row r="797">
      <c r="F797" s="122"/>
      <c r="G797" s="122"/>
      <c r="H797" s="122"/>
      <c r="I797" s="122"/>
      <c r="J797" s="122"/>
      <c r="K797" s="122"/>
      <c r="M797" s="122"/>
    </row>
    <row r="798">
      <c r="F798" s="122"/>
      <c r="G798" s="122"/>
      <c r="H798" s="122"/>
      <c r="I798" s="122"/>
      <c r="J798" s="122"/>
      <c r="K798" s="122"/>
      <c r="M798" s="122"/>
    </row>
    <row r="799">
      <c r="F799" s="122"/>
      <c r="G799" s="122"/>
      <c r="H799" s="122"/>
      <c r="I799" s="122"/>
      <c r="J799" s="122"/>
      <c r="K799" s="122"/>
      <c r="M799" s="122"/>
    </row>
    <row r="800">
      <c r="F800" s="122"/>
      <c r="G800" s="122"/>
      <c r="H800" s="122"/>
      <c r="I800" s="122"/>
      <c r="J800" s="122"/>
      <c r="K800" s="122"/>
      <c r="M800" s="122"/>
    </row>
    <row r="801">
      <c r="F801" s="122"/>
      <c r="G801" s="122"/>
      <c r="H801" s="122"/>
      <c r="I801" s="122"/>
      <c r="J801" s="122"/>
      <c r="K801" s="122"/>
      <c r="M801" s="122"/>
    </row>
    <row r="802">
      <c r="F802" s="122"/>
      <c r="G802" s="122"/>
      <c r="H802" s="122"/>
      <c r="I802" s="122"/>
      <c r="J802" s="122"/>
      <c r="K802" s="122"/>
      <c r="M802" s="122"/>
    </row>
    <row r="803">
      <c r="F803" s="122"/>
      <c r="G803" s="122"/>
      <c r="H803" s="122"/>
      <c r="I803" s="122"/>
      <c r="J803" s="122"/>
      <c r="K803" s="122"/>
      <c r="M803" s="122"/>
    </row>
    <row r="804">
      <c r="F804" s="122"/>
      <c r="G804" s="122"/>
      <c r="H804" s="122"/>
      <c r="I804" s="122"/>
      <c r="J804" s="122"/>
      <c r="K804" s="122"/>
      <c r="M804" s="122"/>
    </row>
    <row r="805">
      <c r="F805" s="122"/>
      <c r="G805" s="122"/>
      <c r="H805" s="122"/>
      <c r="I805" s="122"/>
      <c r="J805" s="122"/>
      <c r="K805" s="122"/>
      <c r="M805" s="122"/>
    </row>
    <row r="806">
      <c r="F806" s="122"/>
      <c r="G806" s="122"/>
      <c r="H806" s="122"/>
      <c r="I806" s="122"/>
      <c r="J806" s="122"/>
      <c r="K806" s="122"/>
      <c r="M806" s="122"/>
    </row>
    <row r="807">
      <c r="F807" s="122"/>
      <c r="G807" s="122"/>
      <c r="H807" s="122"/>
      <c r="I807" s="122"/>
      <c r="J807" s="122"/>
      <c r="K807" s="122"/>
      <c r="M807" s="122"/>
    </row>
    <row r="808">
      <c r="F808" s="122"/>
      <c r="G808" s="122"/>
      <c r="H808" s="122"/>
      <c r="I808" s="122"/>
      <c r="J808" s="122"/>
      <c r="K808" s="122"/>
      <c r="M808" s="122"/>
    </row>
    <row r="809">
      <c r="F809" s="122"/>
      <c r="G809" s="122"/>
      <c r="H809" s="122"/>
      <c r="I809" s="122"/>
      <c r="J809" s="122"/>
      <c r="K809" s="122"/>
      <c r="M809" s="122"/>
    </row>
    <row r="810">
      <c r="F810" s="122"/>
      <c r="G810" s="122"/>
      <c r="H810" s="122"/>
      <c r="I810" s="122"/>
      <c r="J810" s="122"/>
      <c r="K810" s="122"/>
      <c r="M810" s="122"/>
    </row>
    <row r="811">
      <c r="F811" s="122"/>
      <c r="G811" s="122"/>
      <c r="H811" s="122"/>
      <c r="I811" s="122"/>
      <c r="J811" s="122"/>
      <c r="K811" s="122"/>
      <c r="M811" s="122"/>
    </row>
    <row r="812">
      <c r="F812" s="122"/>
      <c r="G812" s="122"/>
      <c r="H812" s="122"/>
      <c r="I812" s="122"/>
      <c r="J812" s="122"/>
      <c r="K812" s="122"/>
      <c r="M812" s="122"/>
    </row>
    <row r="813">
      <c r="F813" s="122"/>
      <c r="G813" s="122"/>
      <c r="H813" s="122"/>
      <c r="I813" s="122"/>
      <c r="J813" s="122"/>
      <c r="K813" s="122"/>
      <c r="M813" s="122"/>
    </row>
    <row r="814">
      <c r="F814" s="122"/>
      <c r="G814" s="122"/>
      <c r="H814" s="122"/>
      <c r="I814" s="122"/>
      <c r="J814" s="122"/>
      <c r="K814" s="122"/>
      <c r="M814" s="122"/>
    </row>
    <row r="815">
      <c r="F815" s="122"/>
      <c r="G815" s="122"/>
      <c r="H815" s="122"/>
      <c r="I815" s="122"/>
      <c r="J815" s="122"/>
      <c r="K815" s="122"/>
      <c r="M815" s="122"/>
    </row>
    <row r="816">
      <c r="F816" s="122"/>
      <c r="G816" s="122"/>
      <c r="H816" s="122"/>
      <c r="I816" s="122"/>
      <c r="J816" s="122"/>
      <c r="K816" s="122"/>
      <c r="M816" s="122"/>
    </row>
    <row r="817">
      <c r="F817" s="122"/>
      <c r="G817" s="122"/>
      <c r="H817" s="122"/>
      <c r="I817" s="122"/>
      <c r="J817" s="122"/>
      <c r="K817" s="122"/>
      <c r="M817" s="122"/>
    </row>
    <row r="818">
      <c r="F818" s="122"/>
      <c r="G818" s="122"/>
      <c r="H818" s="122"/>
      <c r="I818" s="122"/>
      <c r="J818" s="122"/>
      <c r="K818" s="122"/>
      <c r="M818" s="122"/>
    </row>
    <row r="819">
      <c r="F819" s="122"/>
      <c r="G819" s="122"/>
      <c r="H819" s="122"/>
      <c r="I819" s="122"/>
      <c r="J819" s="122"/>
      <c r="K819" s="122"/>
      <c r="M819" s="122"/>
    </row>
    <row r="820">
      <c r="F820" s="122"/>
      <c r="G820" s="122"/>
      <c r="H820" s="122"/>
      <c r="I820" s="122"/>
      <c r="J820" s="122"/>
      <c r="K820" s="122"/>
      <c r="M820" s="122"/>
    </row>
    <row r="821">
      <c r="F821" s="122"/>
      <c r="G821" s="122"/>
      <c r="H821" s="122"/>
      <c r="I821" s="122"/>
      <c r="J821" s="122"/>
      <c r="K821" s="122"/>
      <c r="M821" s="122"/>
    </row>
    <row r="822">
      <c r="F822" s="122"/>
      <c r="G822" s="122"/>
      <c r="H822" s="122"/>
      <c r="I822" s="122"/>
      <c r="J822" s="122"/>
      <c r="K822" s="122"/>
      <c r="M822" s="122"/>
    </row>
    <row r="823">
      <c r="F823" s="122"/>
      <c r="G823" s="122"/>
      <c r="H823" s="122"/>
      <c r="I823" s="122"/>
      <c r="J823" s="122"/>
      <c r="K823" s="122"/>
      <c r="M823" s="122"/>
    </row>
    <row r="824">
      <c r="F824" s="122"/>
      <c r="G824" s="122"/>
      <c r="H824" s="122"/>
      <c r="I824" s="122"/>
      <c r="J824" s="122"/>
      <c r="K824" s="122"/>
      <c r="M824" s="122"/>
    </row>
    <row r="825">
      <c r="F825" s="122"/>
      <c r="G825" s="122"/>
      <c r="H825" s="122"/>
      <c r="I825" s="122"/>
      <c r="J825" s="122"/>
      <c r="K825" s="122"/>
      <c r="M825" s="122"/>
    </row>
    <row r="826">
      <c r="F826" s="122"/>
      <c r="G826" s="122"/>
      <c r="H826" s="122"/>
      <c r="I826" s="122"/>
      <c r="J826" s="122"/>
      <c r="K826" s="122"/>
      <c r="M826" s="122"/>
    </row>
    <row r="827">
      <c r="F827" s="122"/>
      <c r="G827" s="122"/>
      <c r="H827" s="122"/>
      <c r="I827" s="122"/>
      <c r="J827" s="122"/>
      <c r="K827" s="122"/>
      <c r="M827" s="122"/>
    </row>
    <row r="828">
      <c r="F828" s="122"/>
      <c r="G828" s="122"/>
      <c r="H828" s="122"/>
      <c r="I828" s="122"/>
      <c r="J828" s="122"/>
      <c r="K828" s="122"/>
      <c r="M828" s="122"/>
    </row>
    <row r="829">
      <c r="F829" s="122"/>
      <c r="G829" s="122"/>
      <c r="H829" s="122"/>
      <c r="I829" s="122"/>
      <c r="J829" s="122"/>
      <c r="K829" s="122"/>
      <c r="M829" s="122"/>
    </row>
    <row r="830">
      <c r="F830" s="122"/>
      <c r="G830" s="122"/>
      <c r="H830" s="122"/>
      <c r="I830" s="122"/>
      <c r="J830" s="122"/>
      <c r="K830" s="122"/>
      <c r="M830" s="122"/>
    </row>
    <row r="831">
      <c r="F831" s="122"/>
      <c r="G831" s="122"/>
      <c r="H831" s="122"/>
      <c r="I831" s="122"/>
      <c r="J831" s="122"/>
      <c r="K831" s="122"/>
      <c r="M831" s="122"/>
    </row>
    <row r="832">
      <c r="F832" s="122"/>
      <c r="G832" s="122"/>
      <c r="H832" s="122"/>
      <c r="I832" s="122"/>
      <c r="J832" s="122"/>
      <c r="K832" s="122"/>
      <c r="M832" s="122"/>
    </row>
    <row r="833">
      <c r="F833" s="122"/>
      <c r="G833" s="122"/>
      <c r="H833" s="122"/>
      <c r="I833" s="122"/>
      <c r="J833" s="122"/>
      <c r="K833" s="122"/>
      <c r="M833" s="122"/>
    </row>
    <row r="834">
      <c r="F834" s="122"/>
      <c r="G834" s="122"/>
      <c r="H834" s="122"/>
      <c r="I834" s="122"/>
      <c r="J834" s="122"/>
      <c r="K834" s="122"/>
      <c r="M834" s="122"/>
    </row>
    <row r="835">
      <c r="F835" s="122"/>
      <c r="G835" s="122"/>
      <c r="H835" s="122"/>
      <c r="I835" s="122"/>
      <c r="J835" s="122"/>
      <c r="K835" s="122"/>
      <c r="M835" s="122"/>
    </row>
    <row r="836">
      <c r="F836" s="122"/>
      <c r="G836" s="122"/>
      <c r="H836" s="122"/>
      <c r="I836" s="122"/>
      <c r="J836" s="122"/>
      <c r="K836" s="122"/>
      <c r="M836" s="122"/>
    </row>
    <row r="837">
      <c r="F837" s="122"/>
      <c r="G837" s="122"/>
      <c r="H837" s="122"/>
      <c r="I837" s="122"/>
      <c r="J837" s="122"/>
      <c r="K837" s="122"/>
      <c r="M837" s="122"/>
    </row>
    <row r="838">
      <c r="F838" s="122"/>
      <c r="G838" s="122"/>
      <c r="H838" s="122"/>
      <c r="I838" s="122"/>
      <c r="J838" s="122"/>
      <c r="K838" s="122"/>
      <c r="M838" s="122"/>
    </row>
    <row r="839">
      <c r="F839" s="122"/>
      <c r="G839" s="122"/>
      <c r="H839" s="122"/>
      <c r="I839" s="122"/>
      <c r="J839" s="122"/>
      <c r="K839" s="122"/>
      <c r="M839" s="122"/>
    </row>
    <row r="840">
      <c r="F840" s="122"/>
      <c r="G840" s="122"/>
      <c r="H840" s="122"/>
      <c r="I840" s="122"/>
      <c r="J840" s="122"/>
      <c r="K840" s="122"/>
      <c r="M840" s="122"/>
    </row>
    <row r="841">
      <c r="F841" s="122"/>
      <c r="G841" s="122"/>
      <c r="H841" s="122"/>
      <c r="I841" s="122"/>
      <c r="J841" s="122"/>
      <c r="K841" s="122"/>
      <c r="M841" s="122"/>
    </row>
    <row r="842">
      <c r="F842" s="122"/>
      <c r="G842" s="122"/>
      <c r="H842" s="122"/>
      <c r="I842" s="122"/>
      <c r="J842" s="122"/>
      <c r="K842" s="122"/>
      <c r="M842" s="122"/>
    </row>
    <row r="843">
      <c r="F843" s="122"/>
      <c r="G843" s="122"/>
      <c r="H843" s="122"/>
      <c r="I843" s="122"/>
      <c r="J843" s="122"/>
      <c r="K843" s="122"/>
      <c r="M843" s="122"/>
    </row>
    <row r="844">
      <c r="F844" s="122"/>
      <c r="G844" s="122"/>
      <c r="H844" s="122"/>
      <c r="I844" s="122"/>
      <c r="J844" s="122"/>
      <c r="K844" s="122"/>
      <c r="M844" s="122"/>
    </row>
    <row r="845">
      <c r="F845" s="122"/>
      <c r="G845" s="122"/>
      <c r="H845" s="122"/>
      <c r="I845" s="122"/>
      <c r="J845" s="122"/>
      <c r="K845" s="122"/>
      <c r="M845" s="122"/>
    </row>
    <row r="846">
      <c r="F846" s="122"/>
      <c r="G846" s="122"/>
      <c r="H846" s="122"/>
      <c r="I846" s="122"/>
      <c r="J846" s="122"/>
      <c r="K846" s="122"/>
      <c r="M846" s="122"/>
    </row>
    <row r="847">
      <c r="F847" s="122"/>
      <c r="G847" s="122"/>
      <c r="H847" s="122"/>
      <c r="I847" s="122"/>
      <c r="J847" s="122"/>
      <c r="K847" s="122"/>
      <c r="M847" s="122"/>
    </row>
    <row r="848">
      <c r="F848" s="122"/>
      <c r="G848" s="122"/>
      <c r="H848" s="122"/>
      <c r="I848" s="122"/>
      <c r="J848" s="122"/>
      <c r="K848" s="122"/>
      <c r="M848" s="122"/>
    </row>
    <row r="849">
      <c r="F849" s="122"/>
      <c r="G849" s="122"/>
      <c r="H849" s="122"/>
      <c r="I849" s="122"/>
      <c r="J849" s="122"/>
      <c r="K849" s="122"/>
      <c r="M849" s="122"/>
    </row>
    <row r="850">
      <c r="F850" s="122"/>
      <c r="G850" s="122"/>
      <c r="H850" s="122"/>
      <c r="I850" s="122"/>
      <c r="J850" s="122"/>
      <c r="K850" s="122"/>
      <c r="M850" s="122"/>
    </row>
    <row r="851">
      <c r="F851" s="122"/>
      <c r="G851" s="122"/>
      <c r="H851" s="122"/>
      <c r="I851" s="122"/>
      <c r="J851" s="122"/>
      <c r="K851" s="122"/>
      <c r="M851" s="122"/>
    </row>
    <row r="852">
      <c r="F852" s="122"/>
      <c r="G852" s="122"/>
      <c r="H852" s="122"/>
      <c r="I852" s="122"/>
      <c r="J852" s="122"/>
      <c r="K852" s="122"/>
      <c r="M852" s="122"/>
    </row>
    <row r="853">
      <c r="F853" s="122"/>
      <c r="G853" s="122"/>
      <c r="H853" s="122"/>
      <c r="I853" s="122"/>
      <c r="J853" s="122"/>
      <c r="K853" s="122"/>
      <c r="M853" s="122"/>
    </row>
    <row r="854">
      <c r="F854" s="122"/>
      <c r="G854" s="122"/>
      <c r="H854" s="122"/>
      <c r="I854" s="122"/>
      <c r="J854" s="122"/>
      <c r="K854" s="122"/>
      <c r="M854" s="122"/>
    </row>
    <row r="855">
      <c r="F855" s="122"/>
      <c r="G855" s="122"/>
      <c r="H855" s="122"/>
      <c r="I855" s="122"/>
      <c r="J855" s="122"/>
      <c r="K855" s="122"/>
      <c r="M855" s="122"/>
    </row>
    <row r="856">
      <c r="F856" s="122"/>
      <c r="G856" s="122"/>
      <c r="H856" s="122"/>
      <c r="I856" s="122"/>
      <c r="J856" s="122"/>
      <c r="K856" s="122"/>
      <c r="M856" s="122"/>
    </row>
    <row r="857">
      <c r="F857" s="122"/>
      <c r="G857" s="122"/>
      <c r="H857" s="122"/>
      <c r="I857" s="122"/>
      <c r="J857" s="122"/>
      <c r="K857" s="122"/>
      <c r="M857" s="122"/>
    </row>
    <row r="858">
      <c r="F858" s="122"/>
      <c r="G858" s="122"/>
      <c r="H858" s="122"/>
      <c r="I858" s="122"/>
      <c r="J858" s="122"/>
      <c r="K858" s="122"/>
      <c r="M858" s="122"/>
    </row>
    <row r="859">
      <c r="F859" s="122"/>
      <c r="G859" s="122"/>
      <c r="H859" s="122"/>
      <c r="I859" s="122"/>
      <c r="J859" s="122"/>
      <c r="K859" s="122"/>
      <c r="M859" s="122"/>
    </row>
    <row r="860">
      <c r="F860" s="122"/>
      <c r="G860" s="122"/>
      <c r="H860" s="122"/>
      <c r="I860" s="122"/>
      <c r="J860" s="122"/>
      <c r="K860" s="122"/>
      <c r="M860" s="122"/>
    </row>
    <row r="861">
      <c r="F861" s="122"/>
      <c r="G861" s="122"/>
      <c r="H861" s="122"/>
      <c r="I861" s="122"/>
      <c r="J861" s="122"/>
      <c r="K861" s="122"/>
      <c r="M861" s="122"/>
    </row>
    <row r="862">
      <c r="F862" s="122"/>
      <c r="G862" s="122"/>
      <c r="H862" s="122"/>
      <c r="I862" s="122"/>
      <c r="J862" s="122"/>
      <c r="K862" s="122"/>
      <c r="M862" s="122"/>
    </row>
    <row r="863">
      <c r="F863" s="122"/>
      <c r="G863" s="122"/>
      <c r="H863" s="122"/>
      <c r="I863" s="122"/>
      <c r="J863" s="122"/>
      <c r="K863" s="122"/>
      <c r="M863" s="122"/>
    </row>
    <row r="864">
      <c r="F864" s="122"/>
      <c r="G864" s="122"/>
      <c r="H864" s="122"/>
      <c r="I864" s="122"/>
      <c r="J864" s="122"/>
      <c r="K864" s="122"/>
      <c r="M864" s="122"/>
    </row>
    <row r="865">
      <c r="F865" s="122"/>
      <c r="G865" s="122"/>
      <c r="H865" s="122"/>
      <c r="I865" s="122"/>
      <c r="J865" s="122"/>
      <c r="K865" s="122"/>
      <c r="M865" s="122"/>
    </row>
    <row r="866">
      <c r="F866" s="122"/>
      <c r="G866" s="122"/>
      <c r="H866" s="122"/>
      <c r="I866" s="122"/>
      <c r="J866" s="122"/>
      <c r="K866" s="122"/>
      <c r="M866" s="122"/>
    </row>
    <row r="867">
      <c r="F867" s="122"/>
      <c r="G867" s="122"/>
      <c r="H867" s="122"/>
      <c r="I867" s="122"/>
      <c r="J867" s="122"/>
      <c r="K867" s="122"/>
      <c r="M867" s="122"/>
    </row>
    <row r="868">
      <c r="F868" s="122"/>
      <c r="G868" s="122"/>
      <c r="H868" s="122"/>
      <c r="I868" s="122"/>
      <c r="J868" s="122"/>
      <c r="K868" s="122"/>
      <c r="M868" s="122"/>
    </row>
    <row r="869">
      <c r="F869" s="122"/>
      <c r="G869" s="122"/>
      <c r="H869" s="122"/>
      <c r="I869" s="122"/>
      <c r="J869" s="122"/>
      <c r="K869" s="122"/>
      <c r="M869" s="122"/>
    </row>
    <row r="870">
      <c r="F870" s="122"/>
      <c r="G870" s="122"/>
      <c r="H870" s="122"/>
      <c r="I870" s="122"/>
      <c r="J870" s="122"/>
      <c r="K870" s="122"/>
      <c r="M870" s="122"/>
    </row>
    <row r="871">
      <c r="F871" s="122"/>
      <c r="G871" s="122"/>
      <c r="H871" s="122"/>
      <c r="I871" s="122"/>
      <c r="J871" s="122"/>
      <c r="K871" s="122"/>
      <c r="M871" s="122"/>
    </row>
    <row r="872">
      <c r="F872" s="122"/>
      <c r="G872" s="122"/>
      <c r="H872" s="122"/>
      <c r="I872" s="122"/>
      <c r="J872" s="122"/>
      <c r="K872" s="122"/>
      <c r="M872" s="122"/>
    </row>
    <row r="873">
      <c r="F873" s="122"/>
      <c r="G873" s="122"/>
      <c r="H873" s="122"/>
      <c r="I873" s="122"/>
      <c r="J873" s="122"/>
      <c r="K873" s="122"/>
      <c r="M873" s="122"/>
    </row>
    <row r="874">
      <c r="F874" s="122"/>
      <c r="G874" s="122"/>
      <c r="H874" s="122"/>
      <c r="I874" s="122"/>
      <c r="J874" s="122"/>
      <c r="K874" s="122"/>
      <c r="M874" s="122"/>
    </row>
    <row r="875">
      <c r="F875" s="122"/>
      <c r="G875" s="122"/>
      <c r="H875" s="122"/>
      <c r="I875" s="122"/>
      <c r="J875" s="122"/>
      <c r="K875" s="122"/>
      <c r="M875" s="122"/>
    </row>
    <row r="876">
      <c r="F876" s="122"/>
      <c r="G876" s="122"/>
      <c r="H876" s="122"/>
      <c r="I876" s="122"/>
      <c r="J876" s="122"/>
      <c r="K876" s="122"/>
      <c r="M876" s="122"/>
    </row>
    <row r="877">
      <c r="F877" s="122"/>
      <c r="G877" s="122"/>
      <c r="H877" s="122"/>
      <c r="I877" s="122"/>
      <c r="J877" s="122"/>
      <c r="K877" s="122"/>
      <c r="M877" s="122"/>
    </row>
    <row r="878">
      <c r="F878" s="122"/>
      <c r="G878" s="122"/>
      <c r="H878" s="122"/>
      <c r="I878" s="122"/>
      <c r="J878" s="122"/>
      <c r="K878" s="122"/>
      <c r="M878" s="122"/>
    </row>
    <row r="879">
      <c r="F879" s="122"/>
      <c r="G879" s="122"/>
      <c r="H879" s="122"/>
      <c r="I879" s="122"/>
      <c r="J879" s="122"/>
      <c r="K879" s="122"/>
      <c r="M879" s="122"/>
    </row>
    <row r="880">
      <c r="F880" s="122"/>
      <c r="G880" s="122"/>
      <c r="H880" s="122"/>
      <c r="I880" s="122"/>
      <c r="J880" s="122"/>
      <c r="K880" s="122"/>
      <c r="M880" s="122"/>
    </row>
    <row r="881">
      <c r="F881" s="122"/>
      <c r="G881" s="122"/>
      <c r="H881" s="122"/>
      <c r="I881" s="122"/>
      <c r="J881" s="122"/>
      <c r="K881" s="122"/>
      <c r="M881" s="122"/>
    </row>
    <row r="882">
      <c r="F882" s="122"/>
      <c r="G882" s="122"/>
      <c r="H882" s="122"/>
      <c r="I882" s="122"/>
      <c r="J882" s="122"/>
      <c r="K882" s="122"/>
      <c r="M882" s="122"/>
    </row>
    <row r="883">
      <c r="F883" s="122"/>
      <c r="G883" s="122"/>
      <c r="H883" s="122"/>
      <c r="I883" s="122"/>
      <c r="J883" s="122"/>
      <c r="K883" s="122"/>
      <c r="M883" s="122"/>
    </row>
    <row r="884">
      <c r="F884" s="122"/>
      <c r="G884" s="122"/>
      <c r="H884" s="122"/>
      <c r="I884" s="122"/>
      <c r="J884" s="122"/>
      <c r="K884" s="122"/>
      <c r="M884" s="122"/>
    </row>
    <row r="885">
      <c r="F885" s="122"/>
      <c r="G885" s="122"/>
      <c r="H885" s="122"/>
      <c r="I885" s="122"/>
      <c r="J885" s="122"/>
      <c r="K885" s="122"/>
      <c r="M885" s="122"/>
    </row>
    <row r="886">
      <c r="F886" s="122"/>
      <c r="G886" s="122"/>
      <c r="H886" s="122"/>
      <c r="I886" s="122"/>
      <c r="J886" s="122"/>
      <c r="K886" s="122"/>
      <c r="M886" s="122"/>
    </row>
    <row r="887">
      <c r="F887" s="122"/>
      <c r="G887" s="122"/>
      <c r="H887" s="122"/>
      <c r="I887" s="122"/>
      <c r="J887" s="122"/>
      <c r="K887" s="122"/>
      <c r="M887" s="122"/>
    </row>
    <row r="888">
      <c r="F888" s="122"/>
      <c r="G888" s="122"/>
      <c r="H888" s="122"/>
      <c r="I888" s="122"/>
      <c r="J888" s="122"/>
      <c r="K888" s="122"/>
      <c r="M888" s="122"/>
    </row>
    <row r="889">
      <c r="F889" s="122"/>
      <c r="G889" s="122"/>
      <c r="H889" s="122"/>
      <c r="I889" s="122"/>
      <c r="J889" s="122"/>
      <c r="K889" s="122"/>
      <c r="M889" s="122"/>
    </row>
    <row r="890">
      <c r="F890" s="122"/>
      <c r="G890" s="122"/>
      <c r="H890" s="122"/>
      <c r="I890" s="122"/>
      <c r="J890" s="122"/>
      <c r="K890" s="122"/>
      <c r="M890" s="122"/>
    </row>
    <row r="891">
      <c r="F891" s="122"/>
      <c r="G891" s="122"/>
      <c r="H891" s="122"/>
      <c r="I891" s="122"/>
      <c r="J891" s="122"/>
      <c r="K891" s="122"/>
      <c r="M891" s="122"/>
    </row>
    <row r="892">
      <c r="F892" s="122"/>
      <c r="G892" s="122"/>
      <c r="H892" s="122"/>
      <c r="I892" s="122"/>
      <c r="J892" s="122"/>
      <c r="K892" s="122"/>
      <c r="M892" s="122"/>
    </row>
    <row r="893">
      <c r="F893" s="122"/>
      <c r="G893" s="122"/>
      <c r="H893" s="122"/>
      <c r="I893" s="122"/>
      <c r="J893" s="122"/>
      <c r="K893" s="122"/>
      <c r="M893" s="122"/>
    </row>
    <row r="894">
      <c r="F894" s="122"/>
      <c r="G894" s="122"/>
      <c r="H894" s="122"/>
      <c r="I894" s="122"/>
      <c r="J894" s="122"/>
      <c r="K894" s="122"/>
      <c r="M894" s="122"/>
    </row>
    <row r="895">
      <c r="F895" s="122"/>
      <c r="G895" s="122"/>
      <c r="H895" s="122"/>
      <c r="I895" s="122"/>
      <c r="J895" s="122"/>
      <c r="K895" s="122"/>
      <c r="M895" s="122"/>
    </row>
    <row r="896">
      <c r="F896" s="122"/>
      <c r="G896" s="122"/>
      <c r="H896" s="122"/>
      <c r="I896" s="122"/>
      <c r="J896" s="122"/>
      <c r="K896" s="122"/>
      <c r="M896" s="122"/>
    </row>
    <row r="897">
      <c r="F897" s="122"/>
      <c r="G897" s="122"/>
      <c r="H897" s="122"/>
      <c r="I897" s="122"/>
      <c r="J897" s="122"/>
      <c r="K897" s="122"/>
      <c r="M897" s="122"/>
    </row>
    <row r="898">
      <c r="F898" s="122"/>
      <c r="G898" s="122"/>
      <c r="H898" s="122"/>
      <c r="I898" s="122"/>
      <c r="J898" s="122"/>
      <c r="K898" s="122"/>
      <c r="M898" s="122"/>
    </row>
    <row r="899">
      <c r="F899" s="122"/>
      <c r="G899" s="122"/>
      <c r="H899" s="122"/>
      <c r="I899" s="122"/>
      <c r="J899" s="122"/>
      <c r="K899" s="122"/>
      <c r="M899" s="122"/>
    </row>
    <row r="900">
      <c r="F900" s="122"/>
      <c r="G900" s="122"/>
      <c r="H900" s="122"/>
      <c r="I900" s="122"/>
      <c r="J900" s="122"/>
      <c r="K900" s="122"/>
      <c r="M900" s="122"/>
    </row>
    <row r="901">
      <c r="F901" s="122"/>
      <c r="G901" s="122"/>
      <c r="H901" s="122"/>
      <c r="I901" s="122"/>
      <c r="J901" s="122"/>
      <c r="K901" s="122"/>
      <c r="M901" s="122"/>
    </row>
    <row r="902">
      <c r="F902" s="122"/>
      <c r="G902" s="122"/>
      <c r="H902" s="122"/>
      <c r="I902" s="122"/>
      <c r="J902" s="122"/>
      <c r="K902" s="122"/>
      <c r="M902" s="122"/>
    </row>
    <row r="903">
      <c r="F903" s="122"/>
      <c r="G903" s="122"/>
      <c r="H903" s="122"/>
      <c r="I903" s="122"/>
      <c r="J903" s="122"/>
      <c r="K903" s="122"/>
      <c r="M903" s="122"/>
    </row>
    <row r="904">
      <c r="F904" s="122"/>
      <c r="G904" s="122"/>
      <c r="H904" s="122"/>
      <c r="I904" s="122"/>
      <c r="J904" s="122"/>
      <c r="K904" s="122"/>
      <c r="M904" s="122"/>
    </row>
    <row r="905">
      <c r="F905" s="122"/>
      <c r="G905" s="122"/>
      <c r="H905" s="122"/>
      <c r="I905" s="122"/>
      <c r="J905" s="122"/>
      <c r="K905" s="122"/>
      <c r="M905" s="122"/>
    </row>
    <row r="906">
      <c r="F906" s="122"/>
      <c r="G906" s="122"/>
      <c r="H906" s="122"/>
      <c r="I906" s="122"/>
      <c r="J906" s="122"/>
      <c r="K906" s="122"/>
      <c r="M906" s="122"/>
    </row>
    <row r="907">
      <c r="F907" s="122"/>
      <c r="G907" s="122"/>
      <c r="H907" s="122"/>
      <c r="I907" s="122"/>
      <c r="J907" s="122"/>
      <c r="K907" s="122"/>
      <c r="M907" s="122"/>
    </row>
    <row r="908">
      <c r="F908" s="122"/>
      <c r="G908" s="122"/>
      <c r="H908" s="122"/>
      <c r="I908" s="122"/>
      <c r="J908" s="122"/>
      <c r="K908" s="122"/>
      <c r="M908" s="122"/>
    </row>
    <row r="909">
      <c r="F909" s="122"/>
      <c r="G909" s="122"/>
      <c r="H909" s="122"/>
      <c r="I909" s="122"/>
      <c r="J909" s="122"/>
      <c r="K909" s="122"/>
      <c r="M909" s="122"/>
    </row>
    <row r="910">
      <c r="F910" s="122"/>
      <c r="G910" s="122"/>
      <c r="H910" s="122"/>
      <c r="I910" s="122"/>
      <c r="J910" s="122"/>
      <c r="K910" s="122"/>
      <c r="M910" s="122"/>
    </row>
    <row r="911">
      <c r="F911" s="122"/>
      <c r="G911" s="122"/>
      <c r="H911" s="122"/>
      <c r="I911" s="122"/>
      <c r="J911" s="122"/>
      <c r="K911" s="122"/>
      <c r="M911" s="122"/>
    </row>
    <row r="912">
      <c r="F912" s="122"/>
      <c r="G912" s="122"/>
      <c r="H912" s="122"/>
      <c r="I912" s="122"/>
      <c r="J912" s="122"/>
      <c r="K912" s="122"/>
      <c r="M912" s="122"/>
    </row>
    <row r="913">
      <c r="F913" s="122"/>
      <c r="G913" s="122"/>
      <c r="H913" s="122"/>
      <c r="I913" s="122"/>
      <c r="J913" s="122"/>
      <c r="K913" s="122"/>
      <c r="M913" s="122"/>
    </row>
    <row r="914">
      <c r="F914" s="122"/>
      <c r="G914" s="122"/>
      <c r="H914" s="122"/>
      <c r="I914" s="122"/>
      <c r="J914" s="122"/>
      <c r="K914" s="122"/>
      <c r="M914" s="122"/>
    </row>
    <row r="915">
      <c r="F915" s="122"/>
      <c r="G915" s="122"/>
      <c r="H915" s="122"/>
      <c r="I915" s="122"/>
      <c r="J915" s="122"/>
      <c r="K915" s="122"/>
      <c r="M915" s="122"/>
    </row>
    <row r="916">
      <c r="F916" s="122"/>
      <c r="G916" s="122"/>
      <c r="H916" s="122"/>
      <c r="I916" s="122"/>
      <c r="J916" s="122"/>
      <c r="K916" s="122"/>
      <c r="M916" s="122"/>
    </row>
    <row r="917">
      <c r="F917" s="122"/>
      <c r="G917" s="122"/>
      <c r="H917" s="122"/>
      <c r="I917" s="122"/>
      <c r="J917" s="122"/>
      <c r="K917" s="122"/>
      <c r="M917" s="122"/>
    </row>
    <row r="918">
      <c r="F918" s="122"/>
      <c r="G918" s="122"/>
      <c r="H918" s="122"/>
      <c r="I918" s="122"/>
      <c r="J918" s="122"/>
      <c r="K918" s="122"/>
      <c r="M918" s="122"/>
    </row>
    <row r="919">
      <c r="F919" s="122"/>
      <c r="G919" s="122"/>
      <c r="H919" s="122"/>
      <c r="I919" s="122"/>
      <c r="J919" s="122"/>
      <c r="K919" s="122"/>
      <c r="M919" s="122"/>
    </row>
    <row r="920">
      <c r="F920" s="122"/>
      <c r="G920" s="122"/>
      <c r="H920" s="122"/>
      <c r="I920" s="122"/>
      <c r="J920" s="122"/>
      <c r="K920" s="122"/>
      <c r="M920" s="122"/>
    </row>
    <row r="921">
      <c r="F921" s="122"/>
      <c r="G921" s="122"/>
      <c r="H921" s="122"/>
      <c r="I921" s="122"/>
      <c r="J921" s="122"/>
      <c r="K921" s="122"/>
      <c r="M921" s="122"/>
    </row>
    <row r="922">
      <c r="F922" s="122"/>
      <c r="G922" s="122"/>
      <c r="H922" s="122"/>
      <c r="I922" s="122"/>
      <c r="J922" s="122"/>
      <c r="K922" s="122"/>
      <c r="M922" s="122"/>
    </row>
    <row r="923">
      <c r="F923" s="122"/>
      <c r="G923" s="122"/>
      <c r="H923" s="122"/>
      <c r="I923" s="122"/>
      <c r="J923" s="122"/>
      <c r="K923" s="122"/>
      <c r="M923" s="122"/>
    </row>
    <row r="924">
      <c r="F924" s="122"/>
      <c r="G924" s="122"/>
      <c r="H924" s="122"/>
      <c r="I924" s="122"/>
      <c r="J924" s="122"/>
      <c r="K924" s="122"/>
      <c r="M924" s="122"/>
    </row>
    <row r="925">
      <c r="F925" s="122"/>
      <c r="G925" s="122"/>
      <c r="H925" s="122"/>
      <c r="I925" s="122"/>
      <c r="J925" s="122"/>
      <c r="K925" s="122"/>
      <c r="M925" s="122"/>
    </row>
    <row r="926">
      <c r="F926" s="122"/>
      <c r="G926" s="122"/>
      <c r="H926" s="122"/>
      <c r="I926" s="122"/>
      <c r="J926" s="122"/>
      <c r="K926" s="122"/>
      <c r="M926" s="122"/>
    </row>
    <row r="927">
      <c r="F927" s="122"/>
      <c r="G927" s="122"/>
      <c r="H927" s="122"/>
      <c r="I927" s="122"/>
      <c r="J927" s="122"/>
      <c r="K927" s="122"/>
      <c r="M927" s="122"/>
    </row>
    <row r="928">
      <c r="F928" s="122"/>
      <c r="G928" s="122"/>
      <c r="H928" s="122"/>
      <c r="I928" s="122"/>
      <c r="J928" s="122"/>
      <c r="K928" s="122"/>
      <c r="M928" s="122"/>
    </row>
    <row r="929">
      <c r="F929" s="122"/>
      <c r="G929" s="122"/>
      <c r="H929" s="122"/>
      <c r="I929" s="122"/>
      <c r="J929" s="122"/>
      <c r="K929" s="122"/>
      <c r="M929" s="122"/>
    </row>
    <row r="930">
      <c r="F930" s="122"/>
      <c r="G930" s="122"/>
      <c r="H930" s="122"/>
      <c r="I930" s="122"/>
      <c r="J930" s="122"/>
      <c r="K930" s="122"/>
      <c r="M930" s="122"/>
    </row>
    <row r="931">
      <c r="F931" s="122"/>
      <c r="G931" s="122"/>
      <c r="H931" s="122"/>
      <c r="I931" s="122"/>
      <c r="J931" s="122"/>
      <c r="K931" s="122"/>
      <c r="M931" s="122"/>
    </row>
    <row r="932">
      <c r="F932" s="122"/>
      <c r="G932" s="122"/>
      <c r="H932" s="122"/>
      <c r="I932" s="122"/>
      <c r="J932" s="122"/>
      <c r="K932" s="122"/>
      <c r="M932" s="122"/>
    </row>
    <row r="933">
      <c r="F933" s="122"/>
      <c r="G933" s="122"/>
      <c r="H933" s="122"/>
      <c r="I933" s="122"/>
      <c r="J933" s="122"/>
      <c r="K933" s="122"/>
      <c r="M933" s="122"/>
    </row>
    <row r="934">
      <c r="F934" s="122"/>
      <c r="G934" s="122"/>
      <c r="H934" s="122"/>
      <c r="I934" s="122"/>
      <c r="J934" s="122"/>
      <c r="K934" s="122"/>
      <c r="M934" s="122"/>
    </row>
    <row r="935">
      <c r="F935" s="122"/>
      <c r="G935" s="122"/>
      <c r="H935" s="122"/>
      <c r="I935" s="122"/>
      <c r="J935" s="122"/>
      <c r="K935" s="122"/>
      <c r="M935" s="122"/>
    </row>
    <row r="936">
      <c r="F936" s="122"/>
      <c r="G936" s="122"/>
      <c r="H936" s="122"/>
      <c r="I936" s="122"/>
      <c r="J936" s="122"/>
      <c r="K936" s="122"/>
      <c r="M936" s="122"/>
    </row>
    <row r="937">
      <c r="F937" s="122"/>
      <c r="G937" s="122"/>
      <c r="H937" s="122"/>
      <c r="I937" s="122"/>
      <c r="J937" s="122"/>
      <c r="K937" s="122"/>
      <c r="M937" s="122"/>
    </row>
    <row r="938">
      <c r="F938" s="122"/>
      <c r="G938" s="122"/>
      <c r="H938" s="122"/>
      <c r="I938" s="122"/>
      <c r="J938" s="122"/>
      <c r="K938" s="122"/>
      <c r="M938" s="122"/>
    </row>
    <row r="939">
      <c r="F939" s="122"/>
      <c r="G939" s="122"/>
      <c r="H939" s="122"/>
      <c r="I939" s="122"/>
      <c r="J939" s="122"/>
      <c r="K939" s="122"/>
      <c r="M939" s="122"/>
    </row>
    <row r="940">
      <c r="F940" s="122"/>
      <c r="G940" s="122"/>
      <c r="H940" s="122"/>
      <c r="I940" s="122"/>
      <c r="J940" s="122"/>
      <c r="K940" s="122"/>
      <c r="M940" s="122"/>
    </row>
    <row r="941">
      <c r="F941" s="122"/>
      <c r="G941" s="122"/>
      <c r="H941" s="122"/>
      <c r="I941" s="122"/>
      <c r="J941" s="122"/>
      <c r="K941" s="122"/>
      <c r="M941" s="122"/>
    </row>
    <row r="942">
      <c r="F942" s="122"/>
      <c r="G942" s="122"/>
      <c r="H942" s="122"/>
      <c r="I942" s="122"/>
      <c r="J942" s="122"/>
      <c r="K942" s="122"/>
      <c r="M942" s="122"/>
    </row>
    <row r="943">
      <c r="F943" s="122"/>
      <c r="G943" s="122"/>
      <c r="H943" s="122"/>
      <c r="I943" s="122"/>
      <c r="J943" s="122"/>
      <c r="K943" s="122"/>
      <c r="M943" s="122"/>
    </row>
    <row r="944">
      <c r="F944" s="122"/>
      <c r="G944" s="122"/>
      <c r="H944" s="122"/>
      <c r="I944" s="122"/>
      <c r="J944" s="122"/>
      <c r="K944" s="122"/>
      <c r="M944" s="122"/>
    </row>
    <row r="945">
      <c r="F945" s="122"/>
      <c r="G945" s="122"/>
      <c r="H945" s="122"/>
      <c r="I945" s="122"/>
      <c r="J945" s="122"/>
      <c r="K945" s="122"/>
      <c r="M945" s="122"/>
    </row>
    <row r="946">
      <c r="F946" s="122"/>
      <c r="G946" s="122"/>
      <c r="H946" s="122"/>
      <c r="I946" s="122"/>
      <c r="J946" s="122"/>
      <c r="K946" s="122"/>
      <c r="M946" s="122"/>
    </row>
    <row r="947">
      <c r="F947" s="122"/>
      <c r="G947" s="122"/>
      <c r="H947" s="122"/>
      <c r="I947" s="122"/>
      <c r="J947" s="122"/>
      <c r="K947" s="122"/>
      <c r="M947" s="122"/>
    </row>
    <row r="948">
      <c r="F948" s="122"/>
      <c r="G948" s="122"/>
      <c r="H948" s="122"/>
      <c r="I948" s="122"/>
      <c r="J948" s="122"/>
      <c r="K948" s="122"/>
      <c r="M948" s="122"/>
    </row>
    <row r="949">
      <c r="F949" s="122"/>
      <c r="G949" s="122"/>
      <c r="H949" s="122"/>
      <c r="I949" s="122"/>
      <c r="J949" s="122"/>
      <c r="K949" s="122"/>
      <c r="M949" s="122"/>
    </row>
    <row r="950">
      <c r="F950" s="122"/>
      <c r="G950" s="122"/>
      <c r="H950" s="122"/>
      <c r="I950" s="122"/>
      <c r="J950" s="122"/>
      <c r="K950" s="122"/>
      <c r="M950" s="122"/>
    </row>
    <row r="951">
      <c r="F951" s="122"/>
      <c r="G951" s="122"/>
      <c r="H951" s="122"/>
      <c r="I951" s="122"/>
      <c r="J951" s="122"/>
      <c r="K951" s="122"/>
      <c r="M951" s="122"/>
    </row>
    <row r="952">
      <c r="F952" s="122"/>
      <c r="G952" s="122"/>
      <c r="H952" s="122"/>
      <c r="I952" s="122"/>
      <c r="J952" s="122"/>
      <c r="K952" s="122"/>
      <c r="M952" s="122"/>
    </row>
    <row r="953">
      <c r="F953" s="122"/>
      <c r="G953" s="122"/>
      <c r="H953" s="122"/>
      <c r="I953" s="122"/>
      <c r="J953" s="122"/>
      <c r="K953" s="122"/>
      <c r="M953" s="122"/>
    </row>
    <row r="954">
      <c r="F954" s="122"/>
      <c r="G954" s="122"/>
      <c r="H954" s="122"/>
      <c r="I954" s="122"/>
      <c r="J954" s="122"/>
      <c r="K954" s="122"/>
      <c r="M954" s="122"/>
    </row>
    <row r="955">
      <c r="F955" s="122"/>
      <c r="G955" s="122"/>
      <c r="H955" s="122"/>
      <c r="I955" s="122"/>
      <c r="J955" s="122"/>
      <c r="K955" s="122"/>
      <c r="M955" s="122"/>
    </row>
    <row r="956">
      <c r="F956" s="122"/>
      <c r="G956" s="122"/>
      <c r="H956" s="122"/>
      <c r="I956" s="122"/>
      <c r="J956" s="122"/>
      <c r="K956" s="122"/>
      <c r="M956" s="122"/>
    </row>
    <row r="957">
      <c r="F957" s="122"/>
      <c r="G957" s="122"/>
      <c r="H957" s="122"/>
      <c r="I957" s="122"/>
      <c r="J957" s="122"/>
      <c r="K957" s="122"/>
      <c r="M957" s="122"/>
    </row>
    <row r="958">
      <c r="F958" s="122"/>
      <c r="G958" s="122"/>
      <c r="H958" s="122"/>
      <c r="I958" s="122"/>
      <c r="J958" s="122"/>
      <c r="K958" s="122"/>
      <c r="M958" s="122"/>
    </row>
    <row r="959">
      <c r="F959" s="122"/>
      <c r="G959" s="122"/>
      <c r="H959" s="122"/>
      <c r="I959" s="122"/>
      <c r="J959" s="122"/>
      <c r="K959" s="122"/>
      <c r="M959" s="122"/>
    </row>
    <row r="960">
      <c r="F960" s="122"/>
      <c r="G960" s="122"/>
      <c r="H960" s="122"/>
      <c r="I960" s="122"/>
      <c r="J960" s="122"/>
      <c r="K960" s="122"/>
      <c r="M960" s="122"/>
    </row>
    <row r="961">
      <c r="F961" s="122"/>
      <c r="G961" s="122"/>
      <c r="H961" s="122"/>
      <c r="I961" s="122"/>
      <c r="J961" s="122"/>
      <c r="K961" s="122"/>
      <c r="M961" s="122"/>
    </row>
    <row r="962">
      <c r="F962" s="122"/>
      <c r="G962" s="122"/>
      <c r="H962" s="122"/>
      <c r="I962" s="122"/>
      <c r="J962" s="122"/>
      <c r="K962" s="122"/>
      <c r="M962" s="122"/>
    </row>
    <row r="963">
      <c r="F963" s="122"/>
      <c r="G963" s="122"/>
      <c r="H963" s="122"/>
      <c r="I963" s="122"/>
      <c r="J963" s="122"/>
      <c r="K963" s="122"/>
      <c r="M963" s="122"/>
    </row>
    <row r="964">
      <c r="F964" s="122"/>
      <c r="G964" s="122"/>
      <c r="H964" s="122"/>
      <c r="I964" s="122"/>
      <c r="J964" s="122"/>
      <c r="K964" s="122"/>
      <c r="M964" s="12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6.13"/>
    <col customWidth="1" min="3" max="3" width="4.75"/>
    <col customWidth="1" min="4" max="4" width="7.63"/>
  </cols>
  <sheetData>
    <row r="1">
      <c r="A1" s="12" t="s">
        <v>69</v>
      </c>
      <c r="B1" s="12" t="s">
        <v>63</v>
      </c>
      <c r="C1" s="12" t="s">
        <v>78</v>
      </c>
      <c r="D1" s="12" t="s">
        <v>79</v>
      </c>
    </row>
    <row r="2">
      <c r="A2" s="13"/>
      <c r="B2" s="13"/>
      <c r="D2" s="123"/>
    </row>
    <row r="3">
      <c r="A3" s="13"/>
      <c r="B3" s="13"/>
      <c r="D3" s="123"/>
    </row>
    <row r="4">
      <c r="A4" s="13"/>
      <c r="B4" s="13"/>
      <c r="D4" s="123"/>
    </row>
    <row r="5">
      <c r="A5" s="13"/>
      <c r="B5" s="13"/>
      <c r="D5" s="123"/>
    </row>
    <row r="6">
      <c r="A6" s="13"/>
      <c r="B6" s="13"/>
      <c r="D6" s="123"/>
    </row>
    <row r="7">
      <c r="A7" s="13"/>
      <c r="B7" s="13"/>
      <c r="D7" s="123"/>
    </row>
    <row r="8">
      <c r="A8" s="13"/>
      <c r="B8" s="13"/>
      <c r="D8" s="123"/>
    </row>
    <row r="9">
      <c r="A9" s="13"/>
      <c r="B9" s="13"/>
      <c r="D9" s="123"/>
    </row>
    <row r="10">
      <c r="A10" s="13"/>
      <c r="B10" s="13"/>
      <c r="D10" s="123"/>
    </row>
    <row r="11">
      <c r="A11" s="13"/>
      <c r="B11" s="13"/>
      <c r="D11" s="123"/>
    </row>
    <row r="12">
      <c r="A12" s="13"/>
      <c r="B12" s="13"/>
      <c r="D12" s="123"/>
    </row>
    <row r="13">
      <c r="A13" s="13"/>
      <c r="B13" s="13"/>
      <c r="D13" s="123"/>
    </row>
    <row r="14">
      <c r="A14" s="13"/>
      <c r="B14" s="13"/>
      <c r="D14" s="12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5.88"/>
    <col customWidth="1" min="3" max="3" width="7.63"/>
    <col customWidth="1" min="4" max="4" width="2.5"/>
  </cols>
  <sheetData>
    <row r="1">
      <c r="A1" s="12" t="s">
        <v>80</v>
      </c>
      <c r="B1" s="12" t="s">
        <v>81</v>
      </c>
      <c r="C1" s="12" t="s">
        <v>82</v>
      </c>
      <c r="D1" s="12" t="s">
        <v>83</v>
      </c>
    </row>
    <row r="2">
      <c r="A2" s="123">
        <v>46160.71460520833</v>
      </c>
      <c r="B2" s="13" t="s">
        <v>84</v>
      </c>
      <c r="C2" s="13" t="s">
        <v>85</v>
      </c>
      <c r="D2" s="13" t="s">
        <v>86</v>
      </c>
    </row>
    <row r="3">
      <c r="A3" s="123">
        <v>46160.71461707176</v>
      </c>
      <c r="B3" s="13" t="s">
        <v>84</v>
      </c>
      <c r="C3" s="13" t="s">
        <v>85</v>
      </c>
      <c r="D3" s="13" t="s">
        <v>87</v>
      </c>
    </row>
    <row r="4">
      <c r="A4" s="123">
        <v>46160.71995886574</v>
      </c>
      <c r="B4" s="13" t="s">
        <v>88</v>
      </c>
      <c r="C4" s="13" t="s">
        <v>89</v>
      </c>
      <c r="D4" s="13" t="s">
        <v>90</v>
      </c>
    </row>
    <row r="5">
      <c r="A5" s="123">
        <v>46162.74168162037</v>
      </c>
      <c r="B5" s="13" t="s">
        <v>91</v>
      </c>
      <c r="C5" s="13" t="s">
        <v>92</v>
      </c>
      <c r="D5" s="13" t="s">
        <v>93</v>
      </c>
    </row>
    <row r="6">
      <c r="A6" s="123">
        <v>46162.74170241898</v>
      </c>
      <c r="B6" s="13" t="s">
        <v>91</v>
      </c>
      <c r="C6" s="13" t="s">
        <v>92</v>
      </c>
      <c r="D6" s="13" t="s">
        <v>94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6.0"/>
    <col customWidth="1" min="3" max="3" width="5.0"/>
    <col customWidth="1" min="4" max="4" width="6.75"/>
    <col customWidth="1" min="5" max="5" width="14.38"/>
    <col customWidth="1" min="6" max="6" width="4.13"/>
    <col customWidth="1" min="7" max="7" width="9.13"/>
    <col customWidth="1" min="8" max="8" width="4.63"/>
  </cols>
  <sheetData>
    <row r="1">
      <c r="A1" s="12" t="s">
        <v>28</v>
      </c>
      <c r="B1" s="12" t="s">
        <v>69</v>
      </c>
      <c r="C1" s="12" t="s">
        <v>40</v>
      </c>
      <c r="D1" s="12" t="s">
        <v>41</v>
      </c>
      <c r="E1" s="12" t="s">
        <v>72</v>
      </c>
      <c r="F1" s="12" t="s">
        <v>95</v>
      </c>
      <c r="G1" s="12" t="s">
        <v>96</v>
      </c>
      <c r="H1" s="12" t="s">
        <v>97</v>
      </c>
    </row>
    <row r="2">
      <c r="A2" s="13" t="s">
        <v>98</v>
      </c>
      <c r="B2" s="13" t="s">
        <v>7</v>
      </c>
      <c r="C2" s="13">
        <v>115.0</v>
      </c>
      <c r="D2" s="14">
        <v>9.0</v>
      </c>
      <c r="E2" s="123">
        <v>46148.83632212963</v>
      </c>
    </row>
    <row r="3">
      <c r="A3" s="13" t="s">
        <v>98</v>
      </c>
      <c r="B3" s="13" t="s">
        <v>9</v>
      </c>
      <c r="C3" s="13">
        <v>86.0</v>
      </c>
      <c r="D3" s="13">
        <v>3.0</v>
      </c>
    </row>
    <row r="4">
      <c r="A4" s="13" t="s">
        <v>98</v>
      </c>
      <c r="B4" s="13" t="s">
        <v>11</v>
      </c>
      <c r="C4" s="13">
        <v>131.0</v>
      </c>
      <c r="D4" s="13">
        <v>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5.5"/>
  </cols>
  <sheetData>
    <row r="1">
      <c r="A1" s="12" t="s">
        <v>28</v>
      </c>
      <c r="B1" s="12" t="s">
        <v>69</v>
      </c>
    </row>
    <row r="2">
      <c r="A2" s="13">
        <v>1.0</v>
      </c>
      <c r="B2" s="13" t="s">
        <v>11</v>
      </c>
    </row>
    <row r="3">
      <c r="A3" s="13">
        <v>1.0</v>
      </c>
      <c r="B3" s="13" t="s">
        <v>9</v>
      </c>
    </row>
    <row r="4">
      <c r="A4" s="13">
        <v>1.0</v>
      </c>
      <c r="B4" s="13" t="s">
        <v>7</v>
      </c>
    </row>
  </sheetData>
  <drawing r:id="rId1"/>
</worksheet>
</file>